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smile\OneDrive\Desktop\Data Science\Adv Excel\"/>
    </mc:Choice>
  </mc:AlternateContent>
  <xr:revisionPtr revIDLastSave="0" documentId="13_ncr:1_{0208A933-495C-4609-9F08-1CB3723F39B9}" xr6:coauthVersionLast="47" xr6:coauthVersionMax="47" xr10:uidLastSave="{00000000-0000-0000-0000-000000000000}"/>
  <bookViews>
    <workbookView xWindow="-120" yWindow="-120" windowWidth="20730" windowHeight="11040" activeTab="3" xr2:uid="{07547814-22CB-465B-856B-5230377CA37D}"/>
  </bookViews>
  <sheets>
    <sheet name="Olympics Data" sheetId="3" r:id="rId1"/>
    <sheet name="new columns" sheetId="7" r:id="rId2"/>
    <sheet name="Formula working" sheetId="2" r:id="rId3"/>
    <sheet name="Dashboard" sheetId="14" r:id="rId4"/>
    <sheet name="Pivot table" sheetId="15" r:id="rId5"/>
    <sheet name="sorting" sheetId="6" r:id="rId6"/>
    <sheet name="Conditional Formatting" sheetId="5" r:id="rId7"/>
    <sheet name="Filters" sheetId="1" r:id="rId8"/>
  </sheets>
  <definedNames>
    <definedName name="Slicer_Country">#N/A</definedName>
    <definedName name="Slicer_GDP_Category">#N/A</definedName>
    <definedName name="Slicer_Performace_category">#N/A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Q20" i="7" l="1"/>
  <c r="B82" i="2"/>
  <c r="B81" i="2"/>
  <c r="B80" i="2"/>
  <c r="B77" i="2"/>
  <c r="B76" i="2"/>
  <c r="B75" i="2"/>
  <c r="P2"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O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N20" i="7"/>
  <c r="R4" i="7"/>
  <c r="R3" i="7"/>
  <c r="R5" i="7"/>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2" i="7"/>
  <c r="E10" i="2"/>
  <c r="H3" i="7" l="1"/>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2" i="7"/>
  <c r="T91" i="7"/>
  <c r="S91" i="7"/>
  <c r="Q91" i="7"/>
  <c r="N91" i="7"/>
  <c r="M91" i="7"/>
  <c r="L91" i="7"/>
  <c r="T90" i="7"/>
  <c r="S90" i="7"/>
  <c r="Q90" i="7"/>
  <c r="N90" i="7"/>
  <c r="M90" i="7"/>
  <c r="L90" i="7"/>
  <c r="T89" i="7"/>
  <c r="S89" i="7"/>
  <c r="Q89" i="7"/>
  <c r="N89" i="7"/>
  <c r="M89" i="7"/>
  <c r="L89" i="7"/>
  <c r="T88" i="7"/>
  <c r="S88" i="7"/>
  <c r="Q88" i="7"/>
  <c r="N88" i="7"/>
  <c r="M88" i="7"/>
  <c r="L88" i="7"/>
  <c r="T87" i="7"/>
  <c r="S87" i="7"/>
  <c r="Q87" i="7"/>
  <c r="N87" i="7"/>
  <c r="M87" i="7"/>
  <c r="L87" i="7"/>
  <c r="T86" i="7"/>
  <c r="S86" i="7"/>
  <c r="Q86" i="7"/>
  <c r="N86" i="7"/>
  <c r="M86" i="7"/>
  <c r="L86" i="7"/>
  <c r="T85" i="7"/>
  <c r="S85" i="7"/>
  <c r="Q85" i="7"/>
  <c r="N85" i="7"/>
  <c r="M85" i="7"/>
  <c r="L85" i="7"/>
  <c r="T84" i="7"/>
  <c r="S84" i="7"/>
  <c r="Q84" i="7"/>
  <c r="N84" i="7"/>
  <c r="M84" i="7"/>
  <c r="L84" i="7"/>
  <c r="T83" i="7"/>
  <c r="S83" i="7"/>
  <c r="Q83" i="7"/>
  <c r="N83" i="7"/>
  <c r="M83" i="7"/>
  <c r="L83" i="7"/>
  <c r="T82" i="7"/>
  <c r="S82" i="7"/>
  <c r="Q82" i="7"/>
  <c r="N82" i="7"/>
  <c r="M82" i="7"/>
  <c r="L82" i="7"/>
  <c r="T81" i="7"/>
  <c r="S81" i="7"/>
  <c r="Q81" i="7"/>
  <c r="N81" i="7"/>
  <c r="M81" i="7"/>
  <c r="L81" i="7"/>
  <c r="T80" i="7"/>
  <c r="S80" i="7"/>
  <c r="Q80" i="7"/>
  <c r="N80" i="7"/>
  <c r="M80" i="7"/>
  <c r="L80" i="7"/>
  <c r="T79" i="7"/>
  <c r="S79" i="7"/>
  <c r="Q79" i="7"/>
  <c r="N79" i="7"/>
  <c r="M79" i="7"/>
  <c r="L79" i="7"/>
  <c r="T78" i="7"/>
  <c r="S78" i="7"/>
  <c r="Q78" i="7"/>
  <c r="N78" i="7"/>
  <c r="M78" i="7"/>
  <c r="L78" i="7"/>
  <c r="T77" i="7"/>
  <c r="S77" i="7"/>
  <c r="Q77" i="7"/>
  <c r="N77" i="7"/>
  <c r="M77" i="7"/>
  <c r="L77" i="7"/>
  <c r="T76" i="7"/>
  <c r="S76" i="7"/>
  <c r="Q76" i="7"/>
  <c r="N76" i="7"/>
  <c r="M76" i="7"/>
  <c r="L76" i="7"/>
  <c r="T75" i="7"/>
  <c r="S75" i="7"/>
  <c r="Q75" i="7"/>
  <c r="N75" i="7"/>
  <c r="M75" i="7"/>
  <c r="L75" i="7"/>
  <c r="T74" i="7"/>
  <c r="S74" i="7"/>
  <c r="Q74" i="7"/>
  <c r="N74" i="7"/>
  <c r="M74" i="7"/>
  <c r="L74" i="7"/>
  <c r="T73" i="7"/>
  <c r="S73" i="7"/>
  <c r="Q73" i="7"/>
  <c r="N73" i="7"/>
  <c r="M73" i="7"/>
  <c r="L73" i="7"/>
  <c r="T72" i="7"/>
  <c r="S72" i="7"/>
  <c r="Q72" i="7"/>
  <c r="N72" i="7"/>
  <c r="M72" i="7"/>
  <c r="L72" i="7"/>
  <c r="T71" i="7"/>
  <c r="S71" i="7"/>
  <c r="Q71" i="7"/>
  <c r="N71" i="7"/>
  <c r="M71" i="7"/>
  <c r="L71" i="7"/>
  <c r="T70" i="7"/>
  <c r="S70" i="7"/>
  <c r="Q70" i="7"/>
  <c r="N70" i="7"/>
  <c r="M70" i="7"/>
  <c r="L70" i="7"/>
  <c r="T69" i="7"/>
  <c r="S69" i="7"/>
  <c r="Q69" i="7"/>
  <c r="N69" i="7"/>
  <c r="M69" i="7"/>
  <c r="L69" i="7"/>
  <c r="T68" i="7"/>
  <c r="S68" i="7"/>
  <c r="Q68" i="7"/>
  <c r="N68" i="7"/>
  <c r="M68" i="7"/>
  <c r="L68" i="7"/>
  <c r="T67" i="7"/>
  <c r="S67" i="7"/>
  <c r="Q67" i="7"/>
  <c r="N67" i="7"/>
  <c r="M67" i="7"/>
  <c r="L67" i="7"/>
  <c r="T66" i="7"/>
  <c r="S66" i="7"/>
  <c r="Q66" i="7"/>
  <c r="N66" i="7"/>
  <c r="M66" i="7"/>
  <c r="L66" i="7"/>
  <c r="T65" i="7"/>
  <c r="S65" i="7"/>
  <c r="Q65" i="7"/>
  <c r="N65" i="7"/>
  <c r="M65" i="7"/>
  <c r="L65" i="7"/>
  <c r="T64" i="7"/>
  <c r="S64" i="7"/>
  <c r="Q64" i="7"/>
  <c r="N64" i="7"/>
  <c r="M64" i="7"/>
  <c r="L64" i="7"/>
  <c r="T63" i="7"/>
  <c r="S63" i="7"/>
  <c r="Q63" i="7"/>
  <c r="N63" i="7"/>
  <c r="M63" i="7"/>
  <c r="L63" i="7"/>
  <c r="T62" i="7"/>
  <c r="S62" i="7"/>
  <c r="Q62" i="7"/>
  <c r="N62" i="7"/>
  <c r="M62" i="7"/>
  <c r="L62" i="7"/>
  <c r="T61" i="7"/>
  <c r="S61" i="7"/>
  <c r="Q61" i="7"/>
  <c r="N61" i="7"/>
  <c r="M61" i="7"/>
  <c r="L61" i="7"/>
  <c r="T60" i="7"/>
  <c r="S60" i="7"/>
  <c r="Q60" i="7"/>
  <c r="N60" i="7"/>
  <c r="M60" i="7"/>
  <c r="L60" i="7"/>
  <c r="T59" i="7"/>
  <c r="S59" i="7"/>
  <c r="Q59" i="7"/>
  <c r="N59" i="7"/>
  <c r="M59" i="7"/>
  <c r="L59" i="7"/>
  <c r="T58" i="7"/>
  <c r="S58" i="7"/>
  <c r="Q58" i="7"/>
  <c r="N58" i="7"/>
  <c r="M58" i="7"/>
  <c r="L58" i="7"/>
  <c r="T57" i="7"/>
  <c r="S57" i="7"/>
  <c r="Q57" i="7"/>
  <c r="N57" i="7"/>
  <c r="M57" i="7"/>
  <c r="L57" i="7"/>
  <c r="T56" i="7"/>
  <c r="S56" i="7"/>
  <c r="Q56" i="7"/>
  <c r="N56" i="7"/>
  <c r="M56" i="7"/>
  <c r="L56" i="7"/>
  <c r="T55" i="7"/>
  <c r="S55" i="7"/>
  <c r="Q55" i="7"/>
  <c r="N55" i="7"/>
  <c r="M55" i="7"/>
  <c r="L55" i="7"/>
  <c r="T54" i="7"/>
  <c r="S54" i="7"/>
  <c r="Q54" i="7"/>
  <c r="N54" i="7"/>
  <c r="M54" i="7"/>
  <c r="L54" i="7"/>
  <c r="T53" i="7"/>
  <c r="S53" i="7"/>
  <c r="Q53" i="7"/>
  <c r="N53" i="7"/>
  <c r="M53" i="7"/>
  <c r="L53" i="7"/>
  <c r="T52" i="7"/>
  <c r="S52" i="7"/>
  <c r="Q52" i="7"/>
  <c r="N52" i="7"/>
  <c r="M52" i="7"/>
  <c r="L52" i="7"/>
  <c r="T51" i="7"/>
  <c r="S51" i="7"/>
  <c r="Q51" i="7"/>
  <c r="N51" i="7"/>
  <c r="M51" i="7"/>
  <c r="L51" i="7"/>
  <c r="T50" i="7"/>
  <c r="S50" i="7"/>
  <c r="Q50" i="7"/>
  <c r="N50" i="7"/>
  <c r="M50" i="7"/>
  <c r="L50" i="7"/>
  <c r="T49" i="7"/>
  <c r="S49" i="7"/>
  <c r="Q49" i="7"/>
  <c r="N49" i="7"/>
  <c r="M49" i="7"/>
  <c r="L49" i="7"/>
  <c r="T48" i="7"/>
  <c r="S48" i="7"/>
  <c r="Q48" i="7"/>
  <c r="N48" i="7"/>
  <c r="M48" i="7"/>
  <c r="L48" i="7"/>
  <c r="T47" i="7"/>
  <c r="S47" i="7"/>
  <c r="Q47" i="7"/>
  <c r="N47" i="7"/>
  <c r="M47" i="7"/>
  <c r="L47" i="7"/>
  <c r="T46" i="7"/>
  <c r="S46" i="7"/>
  <c r="Q46" i="7"/>
  <c r="N46" i="7"/>
  <c r="M46" i="7"/>
  <c r="L46" i="7"/>
  <c r="T45" i="7"/>
  <c r="S45" i="7"/>
  <c r="Q45" i="7"/>
  <c r="N45" i="7"/>
  <c r="M45" i="7"/>
  <c r="L45" i="7"/>
  <c r="T44" i="7"/>
  <c r="S44" i="7"/>
  <c r="Q44" i="7"/>
  <c r="N44" i="7"/>
  <c r="M44" i="7"/>
  <c r="L44" i="7"/>
  <c r="T43" i="7"/>
  <c r="S43" i="7"/>
  <c r="Q43" i="7"/>
  <c r="N43" i="7"/>
  <c r="M43" i="7"/>
  <c r="L43" i="7"/>
  <c r="T42" i="7"/>
  <c r="S42" i="7"/>
  <c r="Q42" i="7"/>
  <c r="N42" i="7"/>
  <c r="M42" i="7"/>
  <c r="L42" i="7"/>
  <c r="T41" i="7"/>
  <c r="S41" i="7"/>
  <c r="Q41" i="7"/>
  <c r="N41" i="7"/>
  <c r="M41" i="7"/>
  <c r="L41" i="7"/>
  <c r="T40" i="7"/>
  <c r="S40" i="7"/>
  <c r="Q40" i="7"/>
  <c r="N40" i="7"/>
  <c r="M40" i="7"/>
  <c r="L40" i="7"/>
  <c r="T39" i="7"/>
  <c r="S39" i="7"/>
  <c r="Q39" i="7"/>
  <c r="N39" i="7"/>
  <c r="M39" i="7"/>
  <c r="L39" i="7"/>
  <c r="T38" i="7"/>
  <c r="S38" i="7"/>
  <c r="Q38" i="7"/>
  <c r="N38" i="7"/>
  <c r="M38" i="7"/>
  <c r="L38" i="7"/>
  <c r="T37" i="7"/>
  <c r="S37" i="7"/>
  <c r="Q37" i="7"/>
  <c r="N37" i="7"/>
  <c r="M37" i="7"/>
  <c r="L37" i="7"/>
  <c r="T36" i="7"/>
  <c r="S36" i="7"/>
  <c r="Q36" i="7"/>
  <c r="N36" i="7"/>
  <c r="M36" i="7"/>
  <c r="L36" i="7"/>
  <c r="T35" i="7"/>
  <c r="S35" i="7"/>
  <c r="Q35" i="7"/>
  <c r="N35" i="7"/>
  <c r="M35" i="7"/>
  <c r="L35" i="7"/>
  <c r="T34" i="7"/>
  <c r="S34" i="7"/>
  <c r="Q34" i="7"/>
  <c r="N34" i="7"/>
  <c r="M34" i="7"/>
  <c r="L34" i="7"/>
  <c r="T33" i="7"/>
  <c r="S33" i="7"/>
  <c r="Q33" i="7"/>
  <c r="N33" i="7"/>
  <c r="M33" i="7"/>
  <c r="L33" i="7"/>
  <c r="T32" i="7"/>
  <c r="S32" i="7"/>
  <c r="Q32" i="7"/>
  <c r="N32" i="7"/>
  <c r="M32" i="7"/>
  <c r="L32" i="7"/>
  <c r="T31" i="7"/>
  <c r="S31" i="7"/>
  <c r="Q31" i="7"/>
  <c r="N31" i="7"/>
  <c r="M31" i="7"/>
  <c r="L31" i="7"/>
  <c r="T30" i="7"/>
  <c r="S30" i="7"/>
  <c r="Q30" i="7"/>
  <c r="N30" i="7"/>
  <c r="M30" i="7"/>
  <c r="L30" i="7"/>
  <c r="T29" i="7"/>
  <c r="S29" i="7"/>
  <c r="Q29" i="7"/>
  <c r="N29" i="7"/>
  <c r="M29" i="7"/>
  <c r="L29" i="7"/>
  <c r="T28" i="7"/>
  <c r="S28" i="7"/>
  <c r="Q28" i="7"/>
  <c r="N28" i="7"/>
  <c r="M28" i="7"/>
  <c r="L28" i="7"/>
  <c r="T27" i="7"/>
  <c r="S27" i="7"/>
  <c r="Q27" i="7"/>
  <c r="N27" i="7"/>
  <c r="M27" i="7"/>
  <c r="L27" i="7"/>
  <c r="T26" i="7"/>
  <c r="S26" i="7"/>
  <c r="Q26" i="7"/>
  <c r="N26" i="7"/>
  <c r="M26" i="7"/>
  <c r="L26" i="7"/>
  <c r="T25" i="7"/>
  <c r="S25" i="7"/>
  <c r="Q25" i="7"/>
  <c r="N25" i="7"/>
  <c r="M25" i="7"/>
  <c r="L25" i="7"/>
  <c r="T24" i="7"/>
  <c r="S24" i="7"/>
  <c r="Q24" i="7"/>
  <c r="N24" i="7"/>
  <c r="M24" i="7"/>
  <c r="L24" i="7"/>
  <c r="T23" i="7"/>
  <c r="S23" i="7"/>
  <c r="Q23" i="7"/>
  <c r="N23" i="7"/>
  <c r="M23" i="7"/>
  <c r="L23" i="7"/>
  <c r="T22" i="7"/>
  <c r="S22" i="7"/>
  <c r="Q22" i="7"/>
  <c r="N22" i="7"/>
  <c r="M22" i="7"/>
  <c r="L22" i="7"/>
  <c r="T21" i="7"/>
  <c r="S21" i="7"/>
  <c r="Q21" i="7"/>
  <c r="N21" i="7"/>
  <c r="M21" i="7"/>
  <c r="L21" i="7"/>
  <c r="T20" i="7"/>
  <c r="S20" i="7"/>
  <c r="M20" i="7"/>
  <c r="L20" i="7"/>
  <c r="T19" i="7"/>
  <c r="S19" i="7"/>
  <c r="Q19" i="7"/>
  <c r="N19" i="7"/>
  <c r="M19" i="7"/>
  <c r="L19" i="7"/>
  <c r="T18" i="7"/>
  <c r="S18" i="7"/>
  <c r="Q18" i="7"/>
  <c r="N18" i="7"/>
  <c r="M18" i="7"/>
  <c r="L18" i="7"/>
  <c r="T17" i="7"/>
  <c r="S17" i="7"/>
  <c r="Q17" i="7"/>
  <c r="N17" i="7"/>
  <c r="M17" i="7"/>
  <c r="L17" i="7"/>
  <c r="T16" i="7"/>
  <c r="S16" i="7"/>
  <c r="Q16" i="7"/>
  <c r="N16" i="7"/>
  <c r="M16" i="7"/>
  <c r="L16" i="7"/>
  <c r="T15" i="7"/>
  <c r="S15" i="7"/>
  <c r="Q15" i="7"/>
  <c r="N15" i="7"/>
  <c r="M15" i="7"/>
  <c r="L15" i="7"/>
  <c r="T14" i="7"/>
  <c r="S14" i="7"/>
  <c r="Q14" i="7"/>
  <c r="N14" i="7"/>
  <c r="M14" i="7"/>
  <c r="L14" i="7"/>
  <c r="T13" i="7"/>
  <c r="S13" i="7"/>
  <c r="Q13" i="7"/>
  <c r="N13" i="7"/>
  <c r="M13" i="7"/>
  <c r="L13" i="7"/>
  <c r="T12" i="7"/>
  <c r="S12" i="7"/>
  <c r="Q12" i="7"/>
  <c r="N12" i="7"/>
  <c r="M12" i="7"/>
  <c r="L12" i="7"/>
  <c r="T11" i="7"/>
  <c r="S11" i="7"/>
  <c r="Q11" i="7"/>
  <c r="N11" i="7"/>
  <c r="M11" i="7"/>
  <c r="L11" i="7"/>
  <c r="T10" i="7"/>
  <c r="S10" i="7"/>
  <c r="Q10" i="7"/>
  <c r="N10" i="7"/>
  <c r="M10" i="7"/>
  <c r="L10" i="7"/>
  <c r="T9" i="7"/>
  <c r="S9" i="7"/>
  <c r="Q9" i="7"/>
  <c r="N9" i="7"/>
  <c r="M9" i="7"/>
  <c r="L9" i="7"/>
  <c r="T8" i="7"/>
  <c r="S8" i="7"/>
  <c r="Q8" i="7"/>
  <c r="N8" i="7"/>
  <c r="M8" i="7"/>
  <c r="L8" i="7"/>
  <c r="T7" i="7"/>
  <c r="S7" i="7"/>
  <c r="Q7" i="7"/>
  <c r="N7" i="7"/>
  <c r="M7" i="7"/>
  <c r="L7" i="7"/>
  <c r="T6" i="7"/>
  <c r="S6" i="7"/>
  <c r="Q6" i="7"/>
  <c r="N6" i="7"/>
  <c r="M6" i="7"/>
  <c r="L6" i="7"/>
  <c r="T5" i="7"/>
  <c r="S5" i="7"/>
  <c r="Q5" i="7"/>
  <c r="N5" i="7"/>
  <c r="M5" i="7"/>
  <c r="L5" i="7"/>
  <c r="T4" i="7"/>
  <c r="S4" i="7"/>
  <c r="Q4" i="7"/>
  <c r="N4" i="7"/>
  <c r="M4" i="7"/>
  <c r="L4" i="7"/>
  <c r="T3" i="7"/>
  <c r="S3" i="7"/>
  <c r="Q3" i="7"/>
  <c r="N3" i="7"/>
  <c r="M3" i="7"/>
  <c r="L3" i="7"/>
  <c r="T2" i="7"/>
  <c r="S2" i="7"/>
  <c r="Q2" i="7"/>
  <c r="N2" i="7"/>
  <c r="M2" i="7"/>
  <c r="L2" i="7"/>
  <c r="L2" i="5"/>
  <c r="L33" i="5"/>
  <c r="L68" i="5"/>
  <c r="L57" i="5"/>
  <c r="L74" i="5"/>
  <c r="L77" i="5"/>
  <c r="L26" i="5"/>
  <c r="L39" i="5"/>
  <c r="L75" i="5"/>
  <c r="L44" i="5"/>
  <c r="L27" i="5"/>
  <c r="L40" i="5"/>
  <c r="L41" i="5"/>
  <c r="L20" i="5"/>
  <c r="L67" i="5"/>
  <c r="L81" i="5"/>
  <c r="L18" i="5"/>
  <c r="L25" i="5"/>
  <c r="L28" i="5"/>
  <c r="L29" i="5"/>
  <c r="L51" i="5"/>
  <c r="L52" i="5"/>
  <c r="L78" i="5"/>
  <c r="L34" i="5"/>
  <c r="L42" i="5"/>
  <c r="L58" i="5"/>
  <c r="L59" i="5"/>
  <c r="L60" i="5"/>
  <c r="L86" i="5"/>
  <c r="L23" i="5"/>
  <c r="L45" i="5"/>
  <c r="L69" i="5"/>
  <c r="L16" i="5"/>
  <c r="L53" i="5"/>
  <c r="L54" i="5"/>
  <c r="L55" i="5"/>
  <c r="L82" i="5"/>
  <c r="L83" i="5"/>
  <c r="L84" i="5"/>
  <c r="L85" i="5"/>
  <c r="L19" i="5"/>
  <c r="L30" i="5"/>
  <c r="L31" i="5"/>
  <c r="L79" i="5"/>
  <c r="L80" i="5"/>
  <c r="L24" i="5"/>
  <c r="L46" i="5"/>
  <c r="L70" i="5"/>
  <c r="L71" i="5"/>
  <c r="L21" i="5"/>
  <c r="L22" i="5"/>
  <c r="L35" i="5"/>
  <c r="L15" i="5"/>
  <c r="L17" i="5"/>
  <c r="L36" i="5"/>
  <c r="L87" i="5"/>
  <c r="L88" i="5"/>
  <c r="L89" i="5"/>
  <c r="L90" i="5"/>
  <c r="L91" i="5"/>
  <c r="L3" i="5"/>
  <c r="L4" i="5"/>
  <c r="L5" i="5"/>
  <c r="L6" i="5"/>
  <c r="L7" i="5"/>
  <c r="L8" i="5"/>
  <c r="L9" i="5"/>
  <c r="L10" i="5"/>
  <c r="L11" i="5"/>
  <c r="L12" i="5"/>
  <c r="L13" i="5"/>
  <c r="L14" i="5"/>
  <c r="Q73" i="6"/>
  <c r="P73" i="6"/>
  <c r="O73" i="6"/>
  <c r="N73" i="6"/>
  <c r="M73" i="6"/>
  <c r="L73" i="6"/>
  <c r="H73" i="6"/>
  <c r="Q78" i="6"/>
  <c r="P78" i="6"/>
  <c r="O78" i="6"/>
  <c r="N78" i="6"/>
  <c r="M78" i="6"/>
  <c r="L78" i="6"/>
  <c r="H78" i="6"/>
  <c r="Q77" i="6"/>
  <c r="P77" i="6"/>
  <c r="O77" i="6"/>
  <c r="N77" i="6"/>
  <c r="M77" i="6"/>
  <c r="L77" i="6"/>
  <c r="H77" i="6"/>
  <c r="Q84" i="6"/>
  <c r="P84" i="6"/>
  <c r="O84" i="6"/>
  <c r="N84" i="6"/>
  <c r="M84" i="6"/>
  <c r="L84" i="6"/>
  <c r="H84" i="6"/>
  <c r="Q69" i="6"/>
  <c r="P69" i="6"/>
  <c r="O69" i="6"/>
  <c r="N69" i="6"/>
  <c r="M69" i="6"/>
  <c r="L69" i="6"/>
  <c r="H69" i="6"/>
  <c r="Q71" i="6"/>
  <c r="P71" i="6"/>
  <c r="O71" i="6"/>
  <c r="N71" i="6"/>
  <c r="M71" i="6"/>
  <c r="L71" i="6"/>
  <c r="H71" i="6"/>
  <c r="Q90" i="6"/>
  <c r="P90" i="6"/>
  <c r="O90" i="6"/>
  <c r="N90" i="6"/>
  <c r="M90" i="6"/>
  <c r="L90" i="6"/>
  <c r="H90" i="6"/>
  <c r="Q81" i="6"/>
  <c r="P81" i="6"/>
  <c r="O81" i="6"/>
  <c r="N81" i="6"/>
  <c r="M81" i="6"/>
  <c r="L81" i="6"/>
  <c r="H81" i="6"/>
  <c r="Q70" i="6"/>
  <c r="P70" i="6"/>
  <c r="O70" i="6"/>
  <c r="N70" i="6"/>
  <c r="M70" i="6"/>
  <c r="L70" i="6"/>
  <c r="H70" i="6"/>
  <c r="Q91" i="6"/>
  <c r="P91" i="6"/>
  <c r="O91" i="6"/>
  <c r="N91" i="6"/>
  <c r="M91" i="6"/>
  <c r="L91" i="6"/>
  <c r="H91" i="6"/>
  <c r="Q85" i="6"/>
  <c r="P85" i="6"/>
  <c r="O85" i="6"/>
  <c r="N85" i="6"/>
  <c r="M85" i="6"/>
  <c r="L85" i="6"/>
  <c r="H85" i="6"/>
  <c r="Q75" i="6"/>
  <c r="P75" i="6"/>
  <c r="O75" i="6"/>
  <c r="N75" i="6"/>
  <c r="M75" i="6"/>
  <c r="L75" i="6"/>
  <c r="H75" i="6"/>
  <c r="Q79" i="6"/>
  <c r="P79" i="6"/>
  <c r="O79" i="6"/>
  <c r="N79" i="6"/>
  <c r="M79" i="6"/>
  <c r="L79" i="6"/>
  <c r="H79" i="6"/>
  <c r="Q80" i="6"/>
  <c r="P80" i="6"/>
  <c r="O80" i="6"/>
  <c r="N80" i="6"/>
  <c r="M80" i="6"/>
  <c r="L80" i="6"/>
  <c r="H80" i="6"/>
  <c r="Q74" i="6"/>
  <c r="P74" i="6"/>
  <c r="O74" i="6"/>
  <c r="N74" i="6"/>
  <c r="M74" i="6"/>
  <c r="L74" i="6"/>
  <c r="H74" i="6"/>
  <c r="Q89" i="6"/>
  <c r="P89" i="6"/>
  <c r="O89" i="6"/>
  <c r="N89" i="6"/>
  <c r="M89" i="6"/>
  <c r="L89" i="6"/>
  <c r="H89" i="6"/>
  <c r="Q88" i="6"/>
  <c r="P88" i="6"/>
  <c r="O88" i="6"/>
  <c r="N88" i="6"/>
  <c r="M88" i="6"/>
  <c r="L88" i="6"/>
  <c r="H88" i="6"/>
  <c r="Q87" i="6"/>
  <c r="P87" i="6"/>
  <c r="O87" i="6"/>
  <c r="N87" i="6"/>
  <c r="M87" i="6"/>
  <c r="L87" i="6"/>
  <c r="H87" i="6"/>
  <c r="Q86" i="6"/>
  <c r="P86" i="6"/>
  <c r="O86" i="6"/>
  <c r="N86" i="6"/>
  <c r="M86" i="6"/>
  <c r="L86" i="6"/>
  <c r="H86" i="6"/>
  <c r="Q65" i="6"/>
  <c r="P65" i="6"/>
  <c r="O65" i="6"/>
  <c r="N65" i="6"/>
  <c r="M65" i="6"/>
  <c r="L65" i="6"/>
  <c r="H65" i="6"/>
  <c r="Q82" i="6"/>
  <c r="P82" i="6"/>
  <c r="O82" i="6"/>
  <c r="N82" i="6"/>
  <c r="M82" i="6"/>
  <c r="L82" i="6"/>
  <c r="H82" i="6"/>
  <c r="Q76" i="6"/>
  <c r="P76" i="6"/>
  <c r="O76" i="6"/>
  <c r="N76" i="6"/>
  <c r="M76" i="6"/>
  <c r="L76" i="6"/>
  <c r="H76" i="6"/>
  <c r="Q72" i="6"/>
  <c r="P72" i="6"/>
  <c r="O72" i="6"/>
  <c r="N72" i="6"/>
  <c r="M72" i="6"/>
  <c r="L72" i="6"/>
  <c r="H72" i="6"/>
  <c r="Q68" i="6"/>
  <c r="P68" i="6"/>
  <c r="O68" i="6"/>
  <c r="N68" i="6"/>
  <c r="M68" i="6"/>
  <c r="L68" i="6"/>
  <c r="H68" i="6"/>
  <c r="Q83" i="6"/>
  <c r="P83" i="6"/>
  <c r="O83" i="6"/>
  <c r="N83" i="6"/>
  <c r="M83" i="6"/>
  <c r="L83" i="6"/>
  <c r="H83" i="6"/>
  <c r="Q66" i="6"/>
  <c r="P66" i="6"/>
  <c r="O66" i="6"/>
  <c r="N66" i="6"/>
  <c r="M66" i="6"/>
  <c r="L66" i="6"/>
  <c r="H66" i="6"/>
  <c r="Q67" i="6"/>
  <c r="P67" i="6"/>
  <c r="O67" i="6"/>
  <c r="N67" i="6"/>
  <c r="M67" i="6"/>
  <c r="L67" i="6"/>
  <c r="H67" i="6"/>
  <c r="Q3" i="6"/>
  <c r="P3" i="6"/>
  <c r="O3" i="6"/>
  <c r="N3" i="6"/>
  <c r="M3" i="6"/>
  <c r="L3" i="6"/>
  <c r="H3" i="6"/>
  <c r="Q4" i="6"/>
  <c r="P4" i="6"/>
  <c r="O4" i="6"/>
  <c r="N4" i="6"/>
  <c r="M4" i="6"/>
  <c r="L4" i="6"/>
  <c r="H4" i="6"/>
  <c r="Q13" i="6"/>
  <c r="P13" i="6"/>
  <c r="O13" i="6"/>
  <c r="N13" i="6"/>
  <c r="M13" i="6"/>
  <c r="L13" i="6"/>
  <c r="H13" i="6"/>
  <c r="Q15" i="6"/>
  <c r="P15" i="6"/>
  <c r="O15" i="6"/>
  <c r="N15" i="6"/>
  <c r="M15" i="6"/>
  <c r="L15" i="6"/>
  <c r="H15" i="6"/>
  <c r="Q38" i="6"/>
  <c r="P38" i="6"/>
  <c r="O38" i="6"/>
  <c r="N38" i="6"/>
  <c r="M38" i="6"/>
  <c r="L38" i="6"/>
  <c r="H38" i="6"/>
  <c r="Q12" i="6"/>
  <c r="P12" i="6"/>
  <c r="O12" i="6"/>
  <c r="N12" i="6"/>
  <c r="M12" i="6"/>
  <c r="L12" i="6"/>
  <c r="H12" i="6"/>
  <c r="Q21" i="6"/>
  <c r="P21" i="6"/>
  <c r="O21" i="6"/>
  <c r="N21" i="6"/>
  <c r="M21" i="6"/>
  <c r="L21" i="6"/>
  <c r="H21" i="6"/>
  <c r="Q14" i="6"/>
  <c r="P14" i="6"/>
  <c r="O14" i="6"/>
  <c r="N14" i="6"/>
  <c r="M14" i="6"/>
  <c r="L14" i="6"/>
  <c r="H14" i="6"/>
  <c r="Q19" i="6"/>
  <c r="P19" i="6"/>
  <c r="O19" i="6"/>
  <c r="N19" i="6"/>
  <c r="M19" i="6"/>
  <c r="L19" i="6"/>
  <c r="H19" i="6"/>
  <c r="Q37" i="6"/>
  <c r="P37" i="6"/>
  <c r="O37" i="6"/>
  <c r="N37" i="6"/>
  <c r="M37" i="6"/>
  <c r="L37" i="6"/>
  <c r="H37" i="6"/>
  <c r="Q33" i="6"/>
  <c r="P33" i="6"/>
  <c r="O33" i="6"/>
  <c r="N33" i="6"/>
  <c r="M33" i="6"/>
  <c r="L33" i="6"/>
  <c r="H33" i="6"/>
  <c r="Q34" i="6"/>
  <c r="P34" i="6"/>
  <c r="O34" i="6"/>
  <c r="N34" i="6"/>
  <c r="M34" i="6"/>
  <c r="L34" i="6"/>
  <c r="H34" i="6"/>
  <c r="Q62" i="6"/>
  <c r="P62" i="6"/>
  <c r="O62" i="6"/>
  <c r="N62" i="6"/>
  <c r="M62" i="6"/>
  <c r="L62" i="6"/>
  <c r="H62" i="6"/>
  <c r="Q51" i="6"/>
  <c r="P51" i="6"/>
  <c r="O51" i="6"/>
  <c r="N51" i="6"/>
  <c r="M51" i="6"/>
  <c r="L51" i="6"/>
  <c r="H51" i="6"/>
  <c r="Q55" i="6"/>
  <c r="P55" i="6"/>
  <c r="O55" i="6"/>
  <c r="N55" i="6"/>
  <c r="M55" i="6"/>
  <c r="L55" i="6"/>
  <c r="H55" i="6"/>
  <c r="Q63" i="6"/>
  <c r="P63" i="6"/>
  <c r="O63" i="6"/>
  <c r="N63" i="6"/>
  <c r="M63" i="6"/>
  <c r="L63" i="6"/>
  <c r="H63" i="6"/>
  <c r="Q47" i="6"/>
  <c r="P47" i="6"/>
  <c r="O47" i="6"/>
  <c r="N47" i="6"/>
  <c r="M47" i="6"/>
  <c r="L47" i="6"/>
  <c r="H47" i="6"/>
  <c r="Q56" i="6"/>
  <c r="P56" i="6"/>
  <c r="O56" i="6"/>
  <c r="N56" i="6"/>
  <c r="M56" i="6"/>
  <c r="L56" i="6"/>
  <c r="H56" i="6"/>
  <c r="Q57" i="6"/>
  <c r="P57" i="6"/>
  <c r="O57" i="6"/>
  <c r="N57" i="6"/>
  <c r="M57" i="6"/>
  <c r="L57" i="6"/>
  <c r="H57" i="6"/>
  <c r="Q58" i="6"/>
  <c r="P58" i="6"/>
  <c r="O58" i="6"/>
  <c r="N58" i="6"/>
  <c r="M58" i="6"/>
  <c r="L58" i="6"/>
  <c r="H58" i="6"/>
  <c r="Q60" i="6"/>
  <c r="P60" i="6"/>
  <c r="O60" i="6"/>
  <c r="N60" i="6"/>
  <c r="M60" i="6"/>
  <c r="L60" i="6"/>
  <c r="H60" i="6"/>
  <c r="Q64" i="6"/>
  <c r="P64" i="6"/>
  <c r="O64" i="6"/>
  <c r="N64" i="6"/>
  <c r="M64" i="6"/>
  <c r="L64" i="6"/>
  <c r="H64" i="6"/>
  <c r="Q61" i="6"/>
  <c r="P61" i="6"/>
  <c r="O61" i="6"/>
  <c r="N61" i="6"/>
  <c r="M61" i="6"/>
  <c r="L61" i="6"/>
  <c r="H61" i="6"/>
  <c r="Q5" i="6"/>
  <c r="P5" i="6"/>
  <c r="O5" i="6"/>
  <c r="N5" i="6"/>
  <c r="M5" i="6"/>
  <c r="L5" i="6"/>
  <c r="H5" i="6"/>
  <c r="Q6" i="6"/>
  <c r="P6" i="6"/>
  <c r="O6" i="6"/>
  <c r="N6" i="6"/>
  <c r="M6" i="6"/>
  <c r="L6" i="6"/>
  <c r="H6" i="6"/>
  <c r="Q11" i="6"/>
  <c r="P11" i="6"/>
  <c r="O11" i="6"/>
  <c r="N11" i="6"/>
  <c r="M11" i="6"/>
  <c r="L11" i="6"/>
  <c r="H11" i="6"/>
  <c r="Q16" i="6"/>
  <c r="P16" i="6"/>
  <c r="O16" i="6"/>
  <c r="N16" i="6"/>
  <c r="M16" i="6"/>
  <c r="L16" i="6"/>
  <c r="H16" i="6"/>
  <c r="Q28" i="6"/>
  <c r="P28" i="6"/>
  <c r="O28" i="6"/>
  <c r="N28" i="6"/>
  <c r="M28" i="6"/>
  <c r="L28" i="6"/>
  <c r="H28" i="6"/>
  <c r="Q43" i="6"/>
  <c r="P43" i="6"/>
  <c r="O43" i="6"/>
  <c r="N43" i="6"/>
  <c r="M43" i="6"/>
  <c r="L43" i="6"/>
  <c r="H43" i="6"/>
  <c r="Q7" i="6"/>
  <c r="P7" i="6"/>
  <c r="O7" i="6"/>
  <c r="N7" i="6"/>
  <c r="M7" i="6"/>
  <c r="L7" i="6"/>
  <c r="H7" i="6"/>
  <c r="Q20" i="6"/>
  <c r="P20" i="6"/>
  <c r="O20" i="6"/>
  <c r="N20" i="6"/>
  <c r="M20" i="6"/>
  <c r="L20" i="6"/>
  <c r="H20" i="6"/>
  <c r="Q52" i="6"/>
  <c r="P52" i="6"/>
  <c r="O52" i="6"/>
  <c r="N52" i="6"/>
  <c r="M52" i="6"/>
  <c r="L52" i="6"/>
  <c r="H52" i="6"/>
  <c r="Q45" i="6"/>
  <c r="P45" i="6"/>
  <c r="O45" i="6"/>
  <c r="N45" i="6"/>
  <c r="M45" i="6"/>
  <c r="L45" i="6"/>
  <c r="H45" i="6"/>
  <c r="Q44" i="6"/>
  <c r="P44" i="6"/>
  <c r="O44" i="6"/>
  <c r="N44" i="6"/>
  <c r="M44" i="6"/>
  <c r="L44" i="6"/>
  <c r="H44" i="6"/>
  <c r="Q53" i="6"/>
  <c r="P53" i="6"/>
  <c r="O53" i="6"/>
  <c r="N53" i="6"/>
  <c r="M53" i="6"/>
  <c r="L53" i="6"/>
  <c r="H53" i="6"/>
  <c r="Q9" i="6"/>
  <c r="P9" i="6"/>
  <c r="O9" i="6"/>
  <c r="N9" i="6"/>
  <c r="M9" i="6"/>
  <c r="L9" i="6"/>
  <c r="H9" i="6"/>
  <c r="Q10" i="6"/>
  <c r="P10" i="6"/>
  <c r="O10" i="6"/>
  <c r="N10" i="6"/>
  <c r="M10" i="6"/>
  <c r="L10" i="6"/>
  <c r="H10" i="6"/>
  <c r="Q25" i="6"/>
  <c r="P25" i="6"/>
  <c r="O25" i="6"/>
  <c r="N25" i="6"/>
  <c r="M25" i="6"/>
  <c r="L25" i="6"/>
  <c r="H25" i="6"/>
  <c r="Q42" i="6"/>
  <c r="P42" i="6"/>
  <c r="O42" i="6"/>
  <c r="N42" i="6"/>
  <c r="M42" i="6"/>
  <c r="L42" i="6"/>
  <c r="H42" i="6"/>
  <c r="Q26" i="6"/>
  <c r="P26" i="6"/>
  <c r="O26" i="6"/>
  <c r="N26" i="6"/>
  <c r="M26" i="6"/>
  <c r="L26" i="6"/>
  <c r="H26" i="6"/>
  <c r="Q36" i="6"/>
  <c r="P36" i="6"/>
  <c r="O36" i="6"/>
  <c r="N36" i="6"/>
  <c r="M36" i="6"/>
  <c r="L36" i="6"/>
  <c r="H36" i="6"/>
  <c r="Q50" i="6"/>
  <c r="P50" i="6"/>
  <c r="O50" i="6"/>
  <c r="N50" i="6"/>
  <c r="M50" i="6"/>
  <c r="L50" i="6"/>
  <c r="H50" i="6"/>
  <c r="Q48" i="6"/>
  <c r="P48" i="6"/>
  <c r="O48" i="6"/>
  <c r="N48" i="6"/>
  <c r="M48" i="6"/>
  <c r="L48" i="6"/>
  <c r="H48" i="6"/>
  <c r="Q59" i="6"/>
  <c r="P59" i="6"/>
  <c r="O59" i="6"/>
  <c r="N59" i="6"/>
  <c r="M59" i="6"/>
  <c r="L59" i="6"/>
  <c r="H59" i="6"/>
  <c r="Q2" i="6"/>
  <c r="P2" i="6"/>
  <c r="O2" i="6"/>
  <c r="N2" i="6"/>
  <c r="M2" i="6"/>
  <c r="L2" i="6"/>
  <c r="H2" i="6"/>
  <c r="Q17" i="6"/>
  <c r="P17" i="6"/>
  <c r="O17" i="6"/>
  <c r="N17" i="6"/>
  <c r="M17" i="6"/>
  <c r="L17" i="6"/>
  <c r="H17" i="6"/>
  <c r="Q30" i="6"/>
  <c r="P30" i="6"/>
  <c r="O30" i="6"/>
  <c r="N30" i="6"/>
  <c r="M30" i="6"/>
  <c r="L30" i="6"/>
  <c r="H30" i="6"/>
  <c r="Q31" i="6"/>
  <c r="P31" i="6"/>
  <c r="O31" i="6"/>
  <c r="N31" i="6"/>
  <c r="M31" i="6"/>
  <c r="L31" i="6"/>
  <c r="H31" i="6"/>
  <c r="Q46" i="6"/>
  <c r="P46" i="6"/>
  <c r="O46" i="6"/>
  <c r="N46" i="6"/>
  <c r="M46" i="6"/>
  <c r="L46" i="6"/>
  <c r="H46" i="6"/>
  <c r="Q40" i="6"/>
  <c r="P40" i="6"/>
  <c r="O40" i="6"/>
  <c r="N40" i="6"/>
  <c r="M40" i="6"/>
  <c r="L40" i="6"/>
  <c r="H40" i="6"/>
  <c r="Q8" i="6"/>
  <c r="P8" i="6"/>
  <c r="O8" i="6"/>
  <c r="N8" i="6"/>
  <c r="M8" i="6"/>
  <c r="L8" i="6"/>
  <c r="H8" i="6"/>
  <c r="Q35" i="6"/>
  <c r="P35" i="6"/>
  <c r="O35" i="6"/>
  <c r="N35" i="6"/>
  <c r="M35" i="6"/>
  <c r="L35" i="6"/>
  <c r="H35" i="6"/>
  <c r="Q18" i="6"/>
  <c r="P18" i="6"/>
  <c r="O18" i="6"/>
  <c r="N18" i="6"/>
  <c r="M18" i="6"/>
  <c r="L18" i="6"/>
  <c r="H18" i="6"/>
  <c r="Q29" i="6"/>
  <c r="P29" i="6"/>
  <c r="O29" i="6"/>
  <c r="N29" i="6"/>
  <c r="M29" i="6"/>
  <c r="L29" i="6"/>
  <c r="H29" i="6"/>
  <c r="Q41" i="6"/>
  <c r="P41" i="6"/>
  <c r="O41" i="6"/>
  <c r="N41" i="6"/>
  <c r="M41" i="6"/>
  <c r="L41" i="6"/>
  <c r="H41" i="6"/>
  <c r="Q27" i="6"/>
  <c r="P27" i="6"/>
  <c r="O27" i="6"/>
  <c r="N27" i="6"/>
  <c r="M27" i="6"/>
  <c r="L27" i="6"/>
  <c r="H27" i="6"/>
  <c r="Q54" i="6"/>
  <c r="P54" i="6"/>
  <c r="O54" i="6"/>
  <c r="N54" i="6"/>
  <c r="M54" i="6"/>
  <c r="L54" i="6"/>
  <c r="H54" i="6"/>
  <c r="Q23" i="6"/>
  <c r="P23" i="6"/>
  <c r="O23" i="6"/>
  <c r="N23" i="6"/>
  <c r="M23" i="6"/>
  <c r="L23" i="6"/>
  <c r="H23" i="6"/>
  <c r="Q49" i="6"/>
  <c r="P49" i="6"/>
  <c r="O49" i="6"/>
  <c r="N49" i="6"/>
  <c r="M49" i="6"/>
  <c r="L49" i="6"/>
  <c r="H49" i="6"/>
  <c r="Q32" i="6"/>
  <c r="P32" i="6"/>
  <c r="O32" i="6"/>
  <c r="N32" i="6"/>
  <c r="M32" i="6"/>
  <c r="L32" i="6"/>
  <c r="H32" i="6"/>
  <c r="Q22" i="6"/>
  <c r="P22" i="6"/>
  <c r="O22" i="6"/>
  <c r="N22" i="6"/>
  <c r="M22" i="6"/>
  <c r="L22" i="6"/>
  <c r="H22" i="6"/>
  <c r="Q24" i="6"/>
  <c r="P24" i="6"/>
  <c r="O24" i="6"/>
  <c r="N24" i="6"/>
  <c r="M24" i="6"/>
  <c r="L24" i="6"/>
  <c r="H24" i="6"/>
  <c r="Q39" i="6"/>
  <c r="P39" i="6"/>
  <c r="O39" i="6"/>
  <c r="N39" i="6"/>
  <c r="M39" i="6"/>
  <c r="L39" i="6"/>
  <c r="H39" i="6"/>
  <c r="Q14" i="5"/>
  <c r="P14" i="5"/>
  <c r="O14" i="5"/>
  <c r="N14" i="5"/>
  <c r="M14" i="5"/>
  <c r="H14" i="5"/>
  <c r="Q13" i="5"/>
  <c r="P13" i="5"/>
  <c r="O13" i="5"/>
  <c r="N13" i="5"/>
  <c r="M13" i="5"/>
  <c r="H13" i="5"/>
  <c r="Q12" i="5"/>
  <c r="P12" i="5"/>
  <c r="O12" i="5"/>
  <c r="N12" i="5"/>
  <c r="M12" i="5"/>
  <c r="H12" i="5"/>
  <c r="Q11" i="5"/>
  <c r="P11" i="5"/>
  <c r="O11" i="5"/>
  <c r="N11" i="5"/>
  <c r="M11" i="5"/>
  <c r="H11" i="5"/>
  <c r="Q10" i="5"/>
  <c r="P10" i="5"/>
  <c r="O10" i="5"/>
  <c r="N10" i="5"/>
  <c r="M10" i="5"/>
  <c r="H10" i="5"/>
  <c r="Q9" i="5"/>
  <c r="P9" i="5"/>
  <c r="O9" i="5"/>
  <c r="N9" i="5"/>
  <c r="M9" i="5"/>
  <c r="H9" i="5"/>
  <c r="Q8" i="5"/>
  <c r="P8" i="5"/>
  <c r="O8" i="5"/>
  <c r="N8" i="5"/>
  <c r="M8" i="5"/>
  <c r="H8" i="5"/>
  <c r="Q7" i="5"/>
  <c r="P7" i="5"/>
  <c r="O7" i="5"/>
  <c r="N7" i="5"/>
  <c r="M7" i="5"/>
  <c r="H7" i="5"/>
  <c r="Q6" i="5"/>
  <c r="P6" i="5"/>
  <c r="O6" i="5"/>
  <c r="N6" i="5"/>
  <c r="M6" i="5"/>
  <c r="H6" i="5"/>
  <c r="Q5" i="5"/>
  <c r="P5" i="5"/>
  <c r="O5" i="5"/>
  <c r="N5" i="5"/>
  <c r="M5" i="5"/>
  <c r="H5" i="5"/>
  <c r="Q4" i="5"/>
  <c r="P4" i="5"/>
  <c r="O4" i="5"/>
  <c r="N4" i="5"/>
  <c r="M4" i="5"/>
  <c r="H4" i="5"/>
  <c r="Q3" i="5"/>
  <c r="P3" i="5"/>
  <c r="O3" i="5"/>
  <c r="N3" i="5"/>
  <c r="M3" i="5"/>
  <c r="H3" i="5"/>
  <c r="Q91" i="5"/>
  <c r="P91" i="5"/>
  <c r="O91" i="5"/>
  <c r="N91" i="5"/>
  <c r="M91" i="5"/>
  <c r="H91" i="5"/>
  <c r="Q90" i="5"/>
  <c r="P90" i="5"/>
  <c r="O90" i="5"/>
  <c r="N90" i="5"/>
  <c r="M90" i="5"/>
  <c r="H90" i="5"/>
  <c r="Q89" i="5"/>
  <c r="P89" i="5"/>
  <c r="O89" i="5"/>
  <c r="N89" i="5"/>
  <c r="M89" i="5"/>
  <c r="H89" i="5"/>
  <c r="Q88" i="5"/>
  <c r="P88" i="5"/>
  <c r="O88" i="5"/>
  <c r="N88" i="5"/>
  <c r="M88" i="5"/>
  <c r="H88" i="5"/>
  <c r="Q87" i="5"/>
  <c r="P87" i="5"/>
  <c r="O87" i="5"/>
  <c r="N87" i="5"/>
  <c r="M87" i="5"/>
  <c r="H87" i="5"/>
  <c r="Q36" i="5"/>
  <c r="P36" i="5"/>
  <c r="O36" i="5"/>
  <c r="N36" i="5"/>
  <c r="M36" i="5"/>
  <c r="H36" i="5"/>
  <c r="Q17" i="5"/>
  <c r="P17" i="5"/>
  <c r="O17" i="5"/>
  <c r="N17" i="5"/>
  <c r="M17" i="5"/>
  <c r="H17" i="5"/>
  <c r="Q15" i="5"/>
  <c r="P15" i="5"/>
  <c r="O15" i="5"/>
  <c r="N15" i="5"/>
  <c r="M15" i="5"/>
  <c r="H15" i="5"/>
  <c r="Q35" i="5"/>
  <c r="P35" i="5"/>
  <c r="O35" i="5"/>
  <c r="N35" i="5"/>
  <c r="M35" i="5"/>
  <c r="H35" i="5"/>
  <c r="Q22" i="5"/>
  <c r="P22" i="5"/>
  <c r="O22" i="5"/>
  <c r="N22" i="5"/>
  <c r="M22" i="5"/>
  <c r="H22" i="5"/>
  <c r="Q21" i="5"/>
  <c r="P21" i="5"/>
  <c r="O21" i="5"/>
  <c r="N21" i="5"/>
  <c r="M21" i="5"/>
  <c r="H21" i="5"/>
  <c r="Q71" i="5"/>
  <c r="P71" i="5"/>
  <c r="O71" i="5"/>
  <c r="N71" i="5"/>
  <c r="M71" i="5"/>
  <c r="H71" i="5"/>
  <c r="Q70" i="5"/>
  <c r="P70" i="5"/>
  <c r="O70" i="5"/>
  <c r="N70" i="5"/>
  <c r="M70" i="5"/>
  <c r="H70" i="5"/>
  <c r="Q46" i="5"/>
  <c r="P46" i="5"/>
  <c r="O46" i="5"/>
  <c r="N46" i="5"/>
  <c r="M46" i="5"/>
  <c r="H46" i="5"/>
  <c r="Q24" i="5"/>
  <c r="P24" i="5"/>
  <c r="O24" i="5"/>
  <c r="N24" i="5"/>
  <c r="M24" i="5"/>
  <c r="H24" i="5"/>
  <c r="Q80" i="5"/>
  <c r="P80" i="5"/>
  <c r="O80" i="5"/>
  <c r="N80" i="5"/>
  <c r="M80" i="5"/>
  <c r="H80" i="5"/>
  <c r="Q79" i="5"/>
  <c r="P79" i="5"/>
  <c r="O79" i="5"/>
  <c r="N79" i="5"/>
  <c r="M79" i="5"/>
  <c r="H79" i="5"/>
  <c r="Q31" i="5"/>
  <c r="P31" i="5"/>
  <c r="O31" i="5"/>
  <c r="N31" i="5"/>
  <c r="M31" i="5"/>
  <c r="H31" i="5"/>
  <c r="Q30" i="5"/>
  <c r="P30" i="5"/>
  <c r="O30" i="5"/>
  <c r="N30" i="5"/>
  <c r="M30" i="5"/>
  <c r="H30" i="5"/>
  <c r="Q19" i="5"/>
  <c r="P19" i="5"/>
  <c r="O19" i="5"/>
  <c r="N19" i="5"/>
  <c r="M19" i="5"/>
  <c r="H19" i="5"/>
  <c r="Q85" i="5"/>
  <c r="P85" i="5"/>
  <c r="O85" i="5"/>
  <c r="N85" i="5"/>
  <c r="M85" i="5"/>
  <c r="H85" i="5"/>
  <c r="Q84" i="5"/>
  <c r="P84" i="5"/>
  <c r="O84" i="5"/>
  <c r="N84" i="5"/>
  <c r="M84" i="5"/>
  <c r="H84" i="5"/>
  <c r="Q83" i="5"/>
  <c r="P83" i="5"/>
  <c r="O83" i="5"/>
  <c r="N83" i="5"/>
  <c r="M83" i="5"/>
  <c r="H83" i="5"/>
  <c r="Q82" i="5"/>
  <c r="P82" i="5"/>
  <c r="O82" i="5"/>
  <c r="N82" i="5"/>
  <c r="M82" i="5"/>
  <c r="H82" i="5"/>
  <c r="Q55" i="5"/>
  <c r="P55" i="5"/>
  <c r="O55" i="5"/>
  <c r="N55" i="5"/>
  <c r="M55" i="5"/>
  <c r="H55" i="5"/>
  <c r="Q54" i="5"/>
  <c r="P54" i="5"/>
  <c r="O54" i="5"/>
  <c r="N54" i="5"/>
  <c r="M54" i="5"/>
  <c r="H54" i="5"/>
  <c r="Q53" i="5"/>
  <c r="P53" i="5"/>
  <c r="O53" i="5"/>
  <c r="N53" i="5"/>
  <c r="M53" i="5"/>
  <c r="H53" i="5"/>
  <c r="Q16" i="5"/>
  <c r="P16" i="5"/>
  <c r="O16" i="5"/>
  <c r="N16" i="5"/>
  <c r="M16" i="5"/>
  <c r="H16" i="5"/>
  <c r="Q69" i="5"/>
  <c r="P69" i="5"/>
  <c r="O69" i="5"/>
  <c r="N69" i="5"/>
  <c r="M69" i="5"/>
  <c r="H69" i="5"/>
  <c r="Q45" i="5"/>
  <c r="P45" i="5"/>
  <c r="O45" i="5"/>
  <c r="N45" i="5"/>
  <c r="M45" i="5"/>
  <c r="H45" i="5"/>
  <c r="Q23" i="5"/>
  <c r="P23" i="5"/>
  <c r="O23" i="5"/>
  <c r="N23" i="5"/>
  <c r="M23" i="5"/>
  <c r="H23" i="5"/>
  <c r="Q86" i="5"/>
  <c r="P86" i="5"/>
  <c r="O86" i="5"/>
  <c r="N86" i="5"/>
  <c r="M86" i="5"/>
  <c r="H86" i="5"/>
  <c r="Q60" i="5"/>
  <c r="P60" i="5"/>
  <c r="O60" i="5"/>
  <c r="N60" i="5"/>
  <c r="M60" i="5"/>
  <c r="H60" i="5"/>
  <c r="Q59" i="5"/>
  <c r="P59" i="5"/>
  <c r="O59" i="5"/>
  <c r="N59" i="5"/>
  <c r="M59" i="5"/>
  <c r="H59" i="5"/>
  <c r="Q58" i="5"/>
  <c r="P58" i="5"/>
  <c r="O58" i="5"/>
  <c r="N58" i="5"/>
  <c r="M58" i="5"/>
  <c r="H58" i="5"/>
  <c r="Q42" i="5"/>
  <c r="P42" i="5"/>
  <c r="O42" i="5"/>
  <c r="N42" i="5"/>
  <c r="M42" i="5"/>
  <c r="H42" i="5"/>
  <c r="Q34" i="5"/>
  <c r="P34" i="5"/>
  <c r="O34" i="5"/>
  <c r="N34" i="5"/>
  <c r="M34" i="5"/>
  <c r="H34" i="5"/>
  <c r="Q78" i="5"/>
  <c r="P78" i="5"/>
  <c r="O78" i="5"/>
  <c r="N78" i="5"/>
  <c r="M78" i="5"/>
  <c r="H78" i="5"/>
  <c r="Q52" i="5"/>
  <c r="P52" i="5"/>
  <c r="O52" i="5"/>
  <c r="N52" i="5"/>
  <c r="M52" i="5"/>
  <c r="H52" i="5"/>
  <c r="Q51" i="5"/>
  <c r="P51" i="5"/>
  <c r="O51" i="5"/>
  <c r="N51" i="5"/>
  <c r="M51" i="5"/>
  <c r="H51" i="5"/>
  <c r="Q29" i="5"/>
  <c r="P29" i="5"/>
  <c r="O29" i="5"/>
  <c r="N29" i="5"/>
  <c r="M29" i="5"/>
  <c r="H29" i="5"/>
  <c r="Q28" i="5"/>
  <c r="P28" i="5"/>
  <c r="O28" i="5"/>
  <c r="N28" i="5"/>
  <c r="M28" i="5"/>
  <c r="H28" i="5"/>
  <c r="Q25" i="5"/>
  <c r="P25" i="5"/>
  <c r="O25" i="5"/>
  <c r="N25" i="5"/>
  <c r="M25" i="5"/>
  <c r="H25" i="5"/>
  <c r="Q18" i="5"/>
  <c r="P18" i="5"/>
  <c r="O18" i="5"/>
  <c r="N18" i="5"/>
  <c r="M18" i="5"/>
  <c r="H18" i="5"/>
  <c r="Q81" i="5"/>
  <c r="P81" i="5"/>
  <c r="O81" i="5"/>
  <c r="N81" i="5"/>
  <c r="M81" i="5"/>
  <c r="H81" i="5"/>
  <c r="Q67" i="5"/>
  <c r="P67" i="5"/>
  <c r="O67" i="5"/>
  <c r="N67" i="5"/>
  <c r="M67" i="5"/>
  <c r="H67" i="5"/>
  <c r="Q20" i="5"/>
  <c r="P20" i="5"/>
  <c r="O20" i="5"/>
  <c r="N20" i="5"/>
  <c r="M20" i="5"/>
  <c r="H20" i="5"/>
  <c r="Q41" i="5"/>
  <c r="P41" i="5"/>
  <c r="O41" i="5"/>
  <c r="N41" i="5"/>
  <c r="M41" i="5"/>
  <c r="H41" i="5"/>
  <c r="Q40" i="5"/>
  <c r="P40" i="5"/>
  <c r="O40" i="5"/>
  <c r="N40" i="5"/>
  <c r="M40" i="5"/>
  <c r="H40" i="5"/>
  <c r="Q27" i="5"/>
  <c r="P27" i="5"/>
  <c r="O27" i="5"/>
  <c r="N27" i="5"/>
  <c r="M27" i="5"/>
  <c r="H27" i="5"/>
  <c r="Q44" i="5"/>
  <c r="P44" i="5"/>
  <c r="O44" i="5"/>
  <c r="N44" i="5"/>
  <c r="M44" i="5"/>
  <c r="H44" i="5"/>
  <c r="Q75" i="5"/>
  <c r="P75" i="5"/>
  <c r="O75" i="5"/>
  <c r="N75" i="5"/>
  <c r="M75" i="5"/>
  <c r="H75" i="5"/>
  <c r="Q39" i="5"/>
  <c r="P39" i="5"/>
  <c r="O39" i="5"/>
  <c r="N39" i="5"/>
  <c r="M39" i="5"/>
  <c r="H39" i="5"/>
  <c r="Q26" i="5"/>
  <c r="P26" i="5"/>
  <c r="O26" i="5"/>
  <c r="N26" i="5"/>
  <c r="M26" i="5"/>
  <c r="H26" i="5"/>
  <c r="Q77" i="5"/>
  <c r="P77" i="5"/>
  <c r="O77" i="5"/>
  <c r="N77" i="5"/>
  <c r="M77" i="5"/>
  <c r="H77" i="5"/>
  <c r="Q74" i="5"/>
  <c r="P74" i="5"/>
  <c r="O74" i="5"/>
  <c r="N74" i="5"/>
  <c r="M74" i="5"/>
  <c r="H74" i="5"/>
  <c r="Q57" i="5"/>
  <c r="P57" i="5"/>
  <c r="O57" i="5"/>
  <c r="N57" i="5"/>
  <c r="M57" i="5"/>
  <c r="H57" i="5"/>
  <c r="Q68" i="5"/>
  <c r="P68" i="5"/>
  <c r="O68" i="5"/>
  <c r="N68" i="5"/>
  <c r="M68" i="5"/>
  <c r="H68" i="5"/>
  <c r="Q33" i="5"/>
  <c r="P33" i="5"/>
  <c r="O33" i="5"/>
  <c r="N33" i="5"/>
  <c r="M33" i="5"/>
  <c r="H33" i="5"/>
  <c r="Q2" i="5"/>
  <c r="P2" i="5"/>
  <c r="O2" i="5"/>
  <c r="N2" i="5"/>
  <c r="M2" i="5"/>
  <c r="H2" i="5"/>
  <c r="Q47" i="5"/>
  <c r="P47" i="5"/>
  <c r="O47" i="5"/>
  <c r="N47" i="5"/>
  <c r="M47" i="5"/>
  <c r="L47" i="5"/>
  <c r="H47" i="5"/>
  <c r="Q37" i="5"/>
  <c r="P37" i="5"/>
  <c r="O37" i="5"/>
  <c r="N37" i="5"/>
  <c r="M37" i="5"/>
  <c r="L37" i="5"/>
  <c r="H37" i="5"/>
  <c r="Q65" i="5"/>
  <c r="P65" i="5"/>
  <c r="O65" i="5"/>
  <c r="N65" i="5"/>
  <c r="M65" i="5"/>
  <c r="L65" i="5"/>
  <c r="H65" i="5"/>
  <c r="Q32" i="5"/>
  <c r="P32" i="5"/>
  <c r="O32" i="5"/>
  <c r="N32" i="5"/>
  <c r="M32" i="5"/>
  <c r="L32" i="5"/>
  <c r="H32" i="5"/>
  <c r="Q61" i="5"/>
  <c r="P61" i="5"/>
  <c r="O61" i="5"/>
  <c r="N61" i="5"/>
  <c r="M61" i="5"/>
  <c r="L61" i="5"/>
  <c r="H61" i="5"/>
  <c r="Q73" i="5"/>
  <c r="P73" i="5"/>
  <c r="O73" i="5"/>
  <c r="N73" i="5"/>
  <c r="M73" i="5"/>
  <c r="L73" i="5"/>
  <c r="H73" i="5"/>
  <c r="Q43" i="5"/>
  <c r="P43" i="5"/>
  <c r="O43" i="5"/>
  <c r="N43" i="5"/>
  <c r="M43" i="5"/>
  <c r="L43" i="5"/>
  <c r="H43" i="5"/>
  <c r="Q76" i="5"/>
  <c r="P76" i="5"/>
  <c r="O76" i="5"/>
  <c r="N76" i="5"/>
  <c r="M76" i="5"/>
  <c r="L76" i="5"/>
  <c r="H76" i="5"/>
  <c r="Q72" i="5"/>
  <c r="P72" i="5"/>
  <c r="O72" i="5"/>
  <c r="N72" i="5"/>
  <c r="M72" i="5"/>
  <c r="L72" i="5"/>
  <c r="H72" i="5"/>
  <c r="Q48" i="5"/>
  <c r="P48" i="5"/>
  <c r="O48" i="5"/>
  <c r="N48" i="5"/>
  <c r="M48" i="5"/>
  <c r="L48" i="5"/>
  <c r="H48" i="5"/>
  <c r="Q62" i="5"/>
  <c r="P62" i="5"/>
  <c r="O62" i="5"/>
  <c r="N62" i="5"/>
  <c r="M62" i="5"/>
  <c r="L62" i="5"/>
  <c r="H62" i="5"/>
  <c r="Q38" i="5"/>
  <c r="P38" i="5"/>
  <c r="O38" i="5"/>
  <c r="N38" i="5"/>
  <c r="M38" i="5"/>
  <c r="L38" i="5"/>
  <c r="H38" i="5"/>
  <c r="Q49" i="5"/>
  <c r="P49" i="5"/>
  <c r="O49" i="5"/>
  <c r="N49" i="5"/>
  <c r="M49" i="5"/>
  <c r="L49" i="5"/>
  <c r="H49" i="5"/>
  <c r="Q50" i="5"/>
  <c r="P50" i="5"/>
  <c r="O50" i="5"/>
  <c r="N50" i="5"/>
  <c r="M50" i="5"/>
  <c r="L50" i="5"/>
  <c r="H50" i="5"/>
  <c r="Q63" i="5"/>
  <c r="P63" i="5"/>
  <c r="O63" i="5"/>
  <c r="N63" i="5"/>
  <c r="M63" i="5"/>
  <c r="L63" i="5"/>
  <c r="H63" i="5"/>
  <c r="Q64" i="5"/>
  <c r="P64" i="5"/>
  <c r="O64" i="5"/>
  <c r="N64" i="5"/>
  <c r="M64" i="5"/>
  <c r="L64" i="5"/>
  <c r="H64" i="5"/>
  <c r="Q66" i="5"/>
  <c r="P66" i="5"/>
  <c r="O66" i="5"/>
  <c r="N66" i="5"/>
  <c r="M66" i="5"/>
  <c r="L66" i="5"/>
  <c r="H66" i="5"/>
  <c r="Q56" i="5"/>
  <c r="P56" i="5"/>
  <c r="O56" i="5"/>
  <c r="N56" i="5"/>
  <c r="M56" i="5"/>
  <c r="L56" i="5"/>
  <c r="H56" i="5"/>
  <c r="B67" i="2"/>
  <c r="B66" i="2"/>
  <c r="B65" i="2"/>
  <c r="B64" i="2"/>
  <c r="B61" i="2"/>
  <c r="B60" i="2"/>
  <c r="B57" i="2"/>
  <c r="B56" i="2"/>
  <c r="B55" i="2"/>
  <c r="B54" i="2"/>
  <c r="B51" i="2"/>
  <c r="B50" i="2"/>
  <c r="B49" i="2"/>
  <c r="B48" i="2"/>
  <c r="B47" i="2"/>
  <c r="B42" i="2"/>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2" i="1"/>
  <c r="B23" i="2"/>
  <c r="B22" i="2"/>
  <c r="B21" i="2"/>
  <c r="B20" i="2"/>
  <c r="B19" i="2"/>
  <c r="B18" i="2"/>
  <c r="B15" i="2"/>
  <c r="B14" i="2"/>
  <c r="B13" i="2"/>
  <c r="B12" i="2"/>
  <c r="B11" i="2"/>
  <c r="B10" i="2"/>
  <c r="B7" i="2"/>
  <c r="B6" i="2"/>
  <c r="B5" i="2"/>
  <c r="B4" i="2"/>
  <c r="B3" i="2"/>
  <c r="B2" i="2"/>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2" i="1"/>
</calcChain>
</file>

<file path=xl/sharedStrings.xml><?xml version="1.0" encoding="utf-8"?>
<sst xmlns="http://schemas.openxmlformats.org/spreadsheetml/2006/main" count="1657" uniqueCount="298">
  <si>
    <t>United States</t>
  </si>
  <si>
    <t>USA</t>
  </si>
  <si>
    <t>North America</t>
  </si>
  <si>
    <t>China</t>
  </si>
  <si>
    <t>CHN</t>
  </si>
  <si>
    <t>Asia</t>
  </si>
  <si>
    <t>Japan</t>
  </si>
  <si>
    <t>JPN</t>
  </si>
  <si>
    <t>Australia</t>
  </si>
  <si>
    <t>AUS</t>
  </si>
  <si>
    <t>Oceania</t>
  </si>
  <si>
    <t>France</t>
  </si>
  <si>
    <t>FRA</t>
  </si>
  <si>
    <t>Europe</t>
  </si>
  <si>
    <t>Netherlands</t>
  </si>
  <si>
    <t>NLD</t>
  </si>
  <si>
    <t>Great Britain</t>
  </si>
  <si>
    <t>GBR</t>
  </si>
  <si>
    <t>South Korea</t>
  </si>
  <si>
    <t>KOR</t>
  </si>
  <si>
    <t>Italy</t>
  </si>
  <si>
    <t>ITA</t>
  </si>
  <si>
    <t>Germany</t>
  </si>
  <si>
    <t>DEU</t>
  </si>
  <si>
    <t>New Zealand</t>
  </si>
  <si>
    <t>NZL</t>
  </si>
  <si>
    <t>Canada</t>
  </si>
  <si>
    <t>CAN</t>
  </si>
  <si>
    <t>Uzbekistan</t>
  </si>
  <si>
    <t>UZB</t>
  </si>
  <si>
    <t>Hungary</t>
  </si>
  <si>
    <t>HUN</t>
  </si>
  <si>
    <t>Spain</t>
  </si>
  <si>
    <t>ESP</t>
  </si>
  <si>
    <t>Sweden</t>
  </si>
  <si>
    <t>SWE</t>
  </si>
  <si>
    <t>Kenya</t>
  </si>
  <si>
    <t>KEN</t>
  </si>
  <si>
    <t>Africa</t>
  </si>
  <si>
    <t>Norway</t>
  </si>
  <si>
    <t>NOR</t>
  </si>
  <si>
    <t>Ireland</t>
  </si>
  <si>
    <t>IRL</t>
  </si>
  <si>
    <t>Brazil</t>
  </si>
  <si>
    <t>BRA</t>
  </si>
  <si>
    <t>South America</t>
  </si>
  <si>
    <t>Iran</t>
  </si>
  <si>
    <t>IRN</t>
  </si>
  <si>
    <t>Ukraine</t>
  </si>
  <si>
    <t>UKR</t>
  </si>
  <si>
    <t>Romania</t>
  </si>
  <si>
    <t>ROU</t>
  </si>
  <si>
    <t>Georgia</t>
  </si>
  <si>
    <t>GEO</t>
  </si>
  <si>
    <t>Belgium</t>
  </si>
  <si>
    <t>BEL</t>
  </si>
  <si>
    <t>Bulgaria</t>
  </si>
  <si>
    <t>BGR</t>
  </si>
  <si>
    <t>Serbia</t>
  </si>
  <si>
    <t>SRB</t>
  </si>
  <si>
    <t>Czech Republic</t>
  </si>
  <si>
    <t>CZE</t>
  </si>
  <si>
    <t>Denmark</t>
  </si>
  <si>
    <t>DNK</t>
  </si>
  <si>
    <t>Azerbaijan</t>
  </si>
  <si>
    <t>AZE</t>
  </si>
  <si>
    <t>Croatia</t>
  </si>
  <si>
    <t>HRV</t>
  </si>
  <si>
    <t>Cuba</t>
  </si>
  <si>
    <t>CUB</t>
  </si>
  <si>
    <t>Bahrain</t>
  </si>
  <si>
    <t>BHR</t>
  </si>
  <si>
    <t>Slovenia</t>
  </si>
  <si>
    <t>SVN</t>
  </si>
  <si>
    <t>Taiwan</t>
  </si>
  <si>
    <t>TPE</t>
  </si>
  <si>
    <t>Austria</t>
  </si>
  <si>
    <t>AUT</t>
  </si>
  <si>
    <t>Hong Kong</t>
  </si>
  <si>
    <t>HKG</t>
  </si>
  <si>
    <t>Philippines</t>
  </si>
  <si>
    <t>PHL</t>
  </si>
  <si>
    <t>Algeria</t>
  </si>
  <si>
    <t>DZA</t>
  </si>
  <si>
    <t>Indonesia</t>
  </si>
  <si>
    <t>IDN</t>
  </si>
  <si>
    <t>Israel</t>
  </si>
  <si>
    <t>ISR</t>
  </si>
  <si>
    <t>Poland</t>
  </si>
  <si>
    <t>POL</t>
  </si>
  <si>
    <t>Kazakhstan</t>
  </si>
  <si>
    <t>KAZ</t>
  </si>
  <si>
    <t>Jamaica</t>
  </si>
  <si>
    <t>JAM</t>
  </si>
  <si>
    <t>South Africa</t>
  </si>
  <si>
    <t>ZAF</t>
  </si>
  <si>
    <t>Thailand</t>
  </si>
  <si>
    <t>THA</t>
  </si>
  <si>
    <t>Ethiopia</t>
  </si>
  <si>
    <t>ETH</t>
  </si>
  <si>
    <t>Switzerland</t>
  </si>
  <si>
    <t>CHE</t>
  </si>
  <si>
    <t>Ecuador</t>
  </si>
  <si>
    <t>ECU</t>
  </si>
  <si>
    <t>Portugal</t>
  </si>
  <si>
    <t>PRT</t>
  </si>
  <si>
    <t>Greece</t>
  </si>
  <si>
    <t>GRC</t>
  </si>
  <si>
    <t>Argentina</t>
  </si>
  <si>
    <t>ARG</t>
  </si>
  <si>
    <t>Egypt</t>
  </si>
  <si>
    <t>EGY</t>
  </si>
  <si>
    <t>Tunisia</t>
  </si>
  <si>
    <t>TUN</t>
  </si>
  <si>
    <t>Botswana</t>
  </si>
  <si>
    <t>BWA</t>
  </si>
  <si>
    <t>Chile</t>
  </si>
  <si>
    <t>CHL</t>
  </si>
  <si>
    <t>St Lucia</t>
  </si>
  <si>
    <t>LCA</t>
  </si>
  <si>
    <t>Caribbean</t>
  </si>
  <si>
    <t>Uganda</t>
  </si>
  <si>
    <t>UGA</t>
  </si>
  <si>
    <t>Dominican Republic</t>
  </si>
  <si>
    <t>DOM</t>
  </si>
  <si>
    <t>Guatemala</t>
  </si>
  <si>
    <t>GTM</t>
  </si>
  <si>
    <t>Morocco</t>
  </si>
  <si>
    <t>MAR</t>
  </si>
  <si>
    <t>Dominica</t>
  </si>
  <si>
    <t>DMA</t>
  </si>
  <si>
    <t>Pakistan</t>
  </si>
  <si>
    <t>PAK</t>
  </si>
  <si>
    <t>Turkey</t>
  </si>
  <si>
    <t>TUR</t>
  </si>
  <si>
    <t>Mexico</t>
  </si>
  <si>
    <t>MEX</t>
  </si>
  <si>
    <t>Armenia</t>
  </si>
  <si>
    <t>ARM</t>
  </si>
  <si>
    <t>Colombia</t>
  </si>
  <si>
    <t>COL</t>
  </si>
  <si>
    <t>North Korea</t>
  </si>
  <si>
    <t>PRK</t>
  </si>
  <si>
    <t>Kyrgyzstan</t>
  </si>
  <si>
    <t>KGZ</t>
  </si>
  <si>
    <t>Lithuania</t>
  </si>
  <si>
    <t>LTU</t>
  </si>
  <si>
    <t>India</t>
  </si>
  <si>
    <t>IND</t>
  </si>
  <si>
    <t>Moldova</t>
  </si>
  <si>
    <t>MDA</t>
  </si>
  <si>
    <t>Kosovo</t>
  </si>
  <si>
    <t>XKX</t>
  </si>
  <si>
    <t>Cyprus</t>
  </si>
  <si>
    <t>CYP</t>
  </si>
  <si>
    <t>Fiji</t>
  </si>
  <si>
    <t>FJI</t>
  </si>
  <si>
    <t>Jordan</t>
  </si>
  <si>
    <t>JOR</t>
  </si>
  <si>
    <t>Mongolia</t>
  </si>
  <si>
    <t>MNG</t>
  </si>
  <si>
    <t>Panama</t>
  </si>
  <si>
    <t>PAN</t>
  </si>
  <si>
    <t>Tajikistan</t>
  </si>
  <si>
    <t>TJK</t>
  </si>
  <si>
    <t>Albania</t>
  </si>
  <si>
    <t>ALB</t>
  </si>
  <si>
    <t>Grenada</t>
  </si>
  <si>
    <t>GRD</t>
  </si>
  <si>
    <t>Malaysia</t>
  </si>
  <si>
    <t>MYS</t>
  </si>
  <si>
    <t>Puerto Rico</t>
  </si>
  <si>
    <t>PRI</t>
  </si>
  <si>
    <t>Cape Verde</t>
  </si>
  <si>
    <t>CPV</t>
  </si>
  <si>
    <t>Ivory Coast</t>
  </si>
  <si>
    <t>CIV</t>
  </si>
  <si>
    <t>Peru</t>
  </si>
  <si>
    <t>PER</t>
  </si>
  <si>
    <t>Qatar</t>
  </si>
  <si>
    <t>QAT</t>
  </si>
  <si>
    <t>Singapore</t>
  </si>
  <si>
    <t>SGP</t>
  </si>
  <si>
    <t>Slovakia</t>
  </si>
  <si>
    <t>SVK</t>
  </si>
  <si>
    <t>Zambia</t>
  </si>
  <si>
    <t>ZMB</t>
  </si>
  <si>
    <t>Calculate the total number of Gold medals won by all countries.</t>
  </si>
  <si>
    <t>Calculate the total number of Silver medals won.</t>
  </si>
  <si>
    <t>Calculate the total number of Bronze medals won.</t>
  </si>
  <si>
    <t>Calculate the total medals won by all countries.</t>
  </si>
  <si>
    <t>Calculate the total GDP of all countries.</t>
  </si>
  <si>
    <t>Calculate the total population represented in the dataset.</t>
  </si>
  <si>
    <t>SUM Formula Questions</t>
  </si>
  <si>
    <t>AVERAGE Formula Questions</t>
  </si>
  <si>
    <t>Find the average number of Gold medals won.</t>
  </si>
  <si>
    <t>Find the average number of Silver medals won.</t>
  </si>
  <si>
    <t>Find the average number of Bronze medals won.</t>
  </si>
  <si>
    <t>Find the average total medals per country.</t>
  </si>
  <si>
    <t>Find the average GDP of all countries.</t>
  </si>
  <si>
    <t>Find the average population of the participating countries.</t>
  </si>
  <si>
    <t>Which country has the highest GDP?</t>
  </si>
  <si>
    <t>Which country has the lowest GDP?</t>
  </si>
  <si>
    <t>What is the highest number of Gold medals won?</t>
  </si>
  <si>
    <t>What is the lowest number of Gold medals won?</t>
  </si>
  <si>
    <t>What is the maximum population in the dataset?</t>
  </si>
  <si>
    <t>What is the minimum population in the dataset?</t>
  </si>
  <si>
    <t>Create new calculated columns.</t>
  </si>
  <si>
    <t>Calculate Weighted Medal Score using:</t>
  </si>
  <si>
    <t>Gold × 3</t>
  </si>
  <si>
    <t>Silver × 2</t>
  </si>
  <si>
    <t>Bronze × 1</t>
  </si>
  <si>
    <t>If Total Medals ≥ 100, display "Excellent", otherwise "Needs Improvement".</t>
  </si>
  <si>
    <t>If Gold Medals ≥ 20, display "Top Performer", otherwise "Average Performer".</t>
  </si>
  <si>
    <t>If GDP ≥ 50,000, display "High GDP", otherwise "Low GDP".</t>
  </si>
  <si>
    <t>If Population ≥ 100 million, display "Highly Populated", otherwise "Less Populated".</t>
  </si>
  <si>
    <t>If Total Medals ≥ 50, display "Successful Olympics", otherwise "Moderate Performance".</t>
  </si>
  <si>
    <t>If Gold ≥ 20 AND GDP ≥ 50,000, display "Strong Economy &amp; Strong Performance".</t>
  </si>
  <si>
    <t>If Total Medals ≥ 50 AND Population ≥ 50 million, display "High Performing Nation".</t>
  </si>
  <si>
    <t>If Gold ≥ 10 AND Region = Asia, display "Top Asian Nation".</t>
  </si>
  <si>
    <t>Count the countries belonging to Europe.</t>
  </si>
  <si>
    <t>Count the countries belonging to Asia.</t>
  </si>
  <si>
    <t>Count the countries with GDP greater than 50,000.</t>
  </si>
  <si>
    <t>Calculate the total Gold medals won by Europe.</t>
  </si>
  <si>
    <t>Calculate the total Gold medals won by Asia.</t>
  </si>
  <si>
    <t>Calculate the total GDP of European countries.</t>
  </si>
  <si>
    <t>Calculate the total population of Asian countries.</t>
  </si>
  <si>
    <t>Find the average GDP of Europe.</t>
  </si>
  <si>
    <t>Find the average Gold medals of Asia.</t>
  </si>
  <si>
    <t>Find the average Total medals of North America.</t>
  </si>
  <si>
    <t>Find the average Population of European countries.</t>
  </si>
  <si>
    <t>MIN &amp; MAX Questions</t>
  </si>
  <si>
    <t xml:space="preserve"> Multiplication Questions</t>
  </si>
  <si>
    <t xml:space="preserve"> IF Formula Question</t>
  </si>
  <si>
    <t>IF + AND Questions</t>
  </si>
  <si>
    <t>COUNTIF Questions</t>
  </si>
  <si>
    <t xml:space="preserve"> SUMIF Questions</t>
  </si>
  <si>
    <t>AVERAGEIF Questions</t>
  </si>
  <si>
    <t>Country</t>
  </si>
  <si>
    <t>Country_code</t>
  </si>
  <si>
    <t>Region</t>
  </si>
  <si>
    <t>Gold</t>
  </si>
  <si>
    <t>Silver</t>
  </si>
  <si>
    <t>Bronze</t>
  </si>
  <si>
    <t>Total</t>
  </si>
  <si>
    <t>GDP</t>
  </si>
  <si>
    <t>GDP_year</t>
  </si>
  <si>
    <t>Population</t>
  </si>
  <si>
    <t>Gold %</t>
  </si>
  <si>
    <t>Silver%</t>
  </si>
  <si>
    <t>Bronze%</t>
  </si>
  <si>
    <t>GDP per medal</t>
  </si>
  <si>
    <t>GDP Category</t>
  </si>
  <si>
    <t>Performance</t>
  </si>
  <si>
    <t>Performace category</t>
  </si>
  <si>
    <t>Count european countries with Gold medals greater than 10.</t>
  </si>
  <si>
    <t>Count the asian countries with Total medals greater than 50.</t>
  </si>
  <si>
    <t>SUMIFS Questions</t>
  </si>
  <si>
    <t>Calculate total gdp of european countries with gold medals greater than 10</t>
  </si>
  <si>
    <t>Calculate total gold medals of asian countries with gdp greater than 40000</t>
  </si>
  <si>
    <t>Row Labels</t>
  </si>
  <si>
    <t>Grand Total</t>
  </si>
  <si>
    <t>Sum of Total</t>
  </si>
  <si>
    <t>Sum of Gold</t>
  </si>
  <si>
    <t>Low GDP</t>
  </si>
  <si>
    <t>Low performer</t>
  </si>
  <si>
    <t>High GDP</t>
  </si>
  <si>
    <t>Average of Gold %</t>
  </si>
  <si>
    <t>Average of Silver%</t>
  </si>
  <si>
    <t>Average of Bronze%</t>
  </si>
  <si>
    <t>Average of GDP per medal</t>
  </si>
  <si>
    <t>Count of Country</t>
  </si>
  <si>
    <t>Top performer</t>
  </si>
  <si>
    <t>VLOOKUP TABLE</t>
  </si>
  <si>
    <t>Performance table</t>
  </si>
  <si>
    <t>excellent</t>
  </si>
  <si>
    <t>average</t>
  </si>
  <si>
    <t>good</t>
  </si>
  <si>
    <t>avearge</t>
  </si>
  <si>
    <t>question: find the performance category of india from the given table</t>
  </si>
  <si>
    <t xml:space="preserve">answer: </t>
  </si>
  <si>
    <t>INDEX N MATCH</t>
  </si>
  <si>
    <t>GDP Contribution</t>
  </si>
  <si>
    <t>Medals efficiency</t>
  </si>
  <si>
    <t xml:space="preserve">Calculate Medal Efficiency </t>
  </si>
  <si>
    <t xml:space="preserve">Calculate GDP Contribution </t>
  </si>
  <si>
    <t>Weighted medal score</t>
  </si>
  <si>
    <t xml:space="preserve"> </t>
  </si>
  <si>
    <t>find the gold medals of japan using hlookup</t>
  </si>
  <si>
    <t>find the total medals of australia using hlookup</t>
  </si>
  <si>
    <t>find the gdp of france using hlookup</t>
  </si>
  <si>
    <t>GOLD</t>
  </si>
  <si>
    <t>TOTAL</t>
  </si>
  <si>
    <t xml:space="preserve"> HLOOKUP TABLE</t>
  </si>
  <si>
    <t>QUESTIONS</t>
  </si>
  <si>
    <t xml:space="preserve"> find the gdp of china </t>
  </si>
  <si>
    <t xml:space="preserve">find the gold% of japan </t>
  </si>
  <si>
    <t>find the performance category of france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</si>
</sst>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4" tint="-0.249977111117893"/>
        <bgColor indexed="64"/>
      </patternFill>
    </fill>
    <fill>
      <patternFill patternType="solid">
        <fgColor theme="0"/>
        <bgColor indexed="64"/>
      </patternFill>
    </fill>
    <fill>
      <patternFill patternType="solid">
        <fgColor rgb="FF92D050"/>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64">
    <xf numFmtId="0" fontId="0" fillId="0" borderId="0" xfId="0"/>
    <xf numFmtId="0" fontId="0" fillId="0" borderId="10" xfId="0" applyBorder="1" applyAlignment="1">
      <alignment horizontal="center"/>
    </xf>
    <xf numFmtId="0" fontId="0" fillId="0" borderId="0" xfId="0" applyAlignment="1">
      <alignment horizontal="center"/>
    </xf>
    <xf numFmtId="0" fontId="0" fillId="33" borderId="0" xfId="0" applyFill="1"/>
    <xf numFmtId="0" fontId="0" fillId="34" borderId="0" xfId="0" applyFill="1" applyAlignment="1">
      <alignment horizontal="center"/>
    </xf>
    <xf numFmtId="9" fontId="0" fillId="34" borderId="0" xfId="0" applyNumberFormat="1" applyFill="1" applyAlignment="1">
      <alignment horizontal="center"/>
    </xf>
    <xf numFmtId="9" fontId="0" fillId="34" borderId="0" xfId="42" applyFont="1" applyFill="1" applyAlignment="1">
      <alignment horizontal="center"/>
    </xf>
    <xf numFmtId="1" fontId="0" fillId="34" borderId="0" xfId="42" applyNumberFormat="1" applyFont="1" applyFill="1" applyAlignment="1">
      <alignment horizontal="center"/>
    </xf>
    <xf numFmtId="0" fontId="0" fillId="0" borderId="10" xfId="0" applyBorder="1"/>
    <xf numFmtId="0" fontId="0" fillId="34" borderId="10" xfId="0" applyFill="1" applyBorder="1" applyAlignment="1">
      <alignment horizontal="center"/>
    </xf>
    <xf numFmtId="9" fontId="0" fillId="34" borderId="10" xfId="0" applyNumberFormat="1" applyFill="1" applyBorder="1" applyAlignment="1">
      <alignment horizontal="center"/>
    </xf>
    <xf numFmtId="9" fontId="0" fillId="34" borderId="10" xfId="42" applyFont="1" applyFill="1" applyBorder="1" applyAlignment="1">
      <alignment horizontal="center"/>
    </xf>
    <xf numFmtId="1" fontId="0" fillId="34" borderId="10" xfId="42" applyNumberFormat="1" applyFont="1" applyFill="1" applyBorder="1" applyAlignment="1">
      <alignment horizontal="center"/>
    </xf>
    <xf numFmtId="0" fontId="0" fillId="0" borderId="11" xfId="0" applyBorder="1" applyAlignment="1">
      <alignment horizontal="center"/>
    </xf>
    <xf numFmtId="0" fontId="0" fillId="34" borderId="12" xfId="0" applyFill="1" applyBorder="1" applyAlignment="1">
      <alignment horizontal="center"/>
    </xf>
    <xf numFmtId="0" fontId="16" fillId="0" borderId="13" xfId="0" applyFont="1" applyBorder="1" applyAlignment="1">
      <alignment horizontal="center"/>
    </xf>
    <xf numFmtId="0" fontId="16" fillId="0" borderId="14" xfId="0" applyFont="1" applyBorder="1" applyAlignment="1">
      <alignment horizontal="center"/>
    </xf>
    <xf numFmtId="0" fontId="16" fillId="35" borderId="14" xfId="0" applyFont="1" applyFill="1" applyBorder="1" applyAlignment="1">
      <alignment horizontal="center"/>
    </xf>
    <xf numFmtId="9" fontId="16" fillId="35" borderId="14" xfId="0" applyNumberFormat="1" applyFont="1" applyFill="1" applyBorder="1" applyAlignment="1">
      <alignment horizontal="center"/>
    </xf>
    <xf numFmtId="9" fontId="16" fillId="35" borderId="14" xfId="42" applyFont="1" applyFill="1" applyBorder="1" applyAlignment="1">
      <alignment horizontal="center"/>
    </xf>
    <xf numFmtId="1" fontId="16" fillId="35" borderId="14" xfId="42" applyNumberFormat="1" applyFont="1" applyFill="1" applyBorder="1" applyAlignment="1">
      <alignment horizontal="center"/>
    </xf>
    <xf numFmtId="0" fontId="16" fillId="35" borderId="15" xfId="0" applyFont="1" applyFill="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34" borderId="17" xfId="0" applyFill="1" applyBorder="1" applyAlignment="1">
      <alignment horizontal="center"/>
    </xf>
    <xf numFmtId="9" fontId="0" fillId="34" borderId="17" xfId="0" applyNumberFormat="1" applyFill="1" applyBorder="1" applyAlignment="1">
      <alignment horizontal="center"/>
    </xf>
    <xf numFmtId="9" fontId="0" fillId="34" borderId="17" xfId="42" applyFont="1" applyFill="1" applyBorder="1" applyAlignment="1">
      <alignment horizontal="center"/>
    </xf>
    <xf numFmtId="1" fontId="0" fillId="34" borderId="17" xfId="42" applyNumberFormat="1" applyFont="1" applyFill="1" applyBorder="1" applyAlignment="1">
      <alignment horizontal="center"/>
    </xf>
    <xf numFmtId="0" fontId="0" fillId="34" borderId="18" xfId="0" applyFill="1" applyBorder="1" applyAlignment="1">
      <alignment horizontal="center"/>
    </xf>
    <xf numFmtId="9" fontId="16" fillId="0" borderId="14" xfId="0" applyNumberFormat="1" applyFont="1" applyBorder="1" applyAlignment="1">
      <alignment horizontal="center"/>
    </xf>
    <xf numFmtId="9" fontId="0" fillId="0" borderId="10" xfId="0" applyNumberFormat="1" applyBorder="1" applyAlignment="1">
      <alignment horizontal="center"/>
    </xf>
    <xf numFmtId="9" fontId="0" fillId="0" borderId="0" xfId="0" applyNumberFormat="1" applyAlignment="1">
      <alignment horizontal="center"/>
    </xf>
    <xf numFmtId="9" fontId="16" fillId="0" borderId="14" xfId="42" applyFont="1" applyFill="1" applyBorder="1" applyAlignment="1">
      <alignment horizontal="center"/>
    </xf>
    <xf numFmtId="9" fontId="0" fillId="0" borderId="10" xfId="42" applyFont="1" applyFill="1" applyBorder="1" applyAlignment="1">
      <alignment horizontal="center"/>
    </xf>
    <xf numFmtId="9" fontId="0" fillId="0" borderId="17" xfId="42" applyFont="1" applyFill="1" applyBorder="1" applyAlignment="1">
      <alignment horizontal="center"/>
    </xf>
    <xf numFmtId="9" fontId="0" fillId="0" borderId="0" xfId="42" applyFont="1" applyFill="1" applyAlignment="1">
      <alignment horizontal="center"/>
    </xf>
    <xf numFmtId="1" fontId="16" fillId="0" borderId="14" xfId="42" applyNumberFormat="1" applyFont="1" applyFill="1" applyBorder="1" applyAlignment="1">
      <alignment horizontal="center"/>
    </xf>
    <xf numFmtId="0" fontId="16" fillId="0" borderId="15" xfId="0" applyFont="1" applyBorder="1" applyAlignment="1">
      <alignment horizontal="center"/>
    </xf>
    <xf numFmtId="1" fontId="0" fillId="0" borderId="10" xfId="42" applyNumberFormat="1" applyFont="1" applyFill="1" applyBorder="1" applyAlignment="1">
      <alignment horizontal="center"/>
    </xf>
    <xf numFmtId="0" fontId="0" fillId="0" borderId="12" xfId="0" applyBorder="1" applyAlignment="1">
      <alignment horizontal="center"/>
    </xf>
    <xf numFmtId="1" fontId="0" fillId="0" borderId="17" xfId="42" applyNumberFormat="1" applyFont="1" applyFill="1" applyBorder="1" applyAlignment="1">
      <alignment horizontal="center"/>
    </xf>
    <xf numFmtId="0" fontId="0" fillId="0" borderId="18" xfId="0" applyBorder="1" applyAlignment="1">
      <alignment horizontal="center"/>
    </xf>
    <xf numFmtId="1" fontId="0" fillId="0" borderId="0" xfId="42" applyNumberFormat="1" applyFont="1" applyFill="1" applyAlignment="1">
      <alignment horizontal="center"/>
    </xf>
    <xf numFmtId="0" fontId="13" fillId="36" borderId="14" xfId="0" applyFont="1" applyFill="1" applyBorder="1" applyAlignment="1">
      <alignment horizontal="center"/>
    </xf>
    <xf numFmtId="0" fontId="17" fillId="36" borderId="10" xfId="0" applyFont="1" applyFill="1" applyBorder="1" applyAlignment="1">
      <alignment horizontal="center"/>
    </xf>
    <xf numFmtId="0" fontId="17" fillId="36" borderId="17" xfId="0" applyFont="1" applyFill="1" applyBorder="1" applyAlignment="1">
      <alignment horizontal="center"/>
    </xf>
    <xf numFmtId="0" fontId="17" fillId="36" borderId="0" xfId="0" applyFont="1" applyFill="1" applyAlignment="1">
      <alignment horizontal="center"/>
    </xf>
    <xf numFmtId="9" fontId="13" fillId="36" borderId="14" xfId="0" applyNumberFormat="1" applyFont="1" applyFill="1" applyBorder="1" applyAlignment="1">
      <alignment horizontal="center"/>
    </xf>
    <xf numFmtId="9" fontId="17" fillId="36" borderId="10" xfId="0" applyNumberFormat="1" applyFont="1" applyFill="1" applyBorder="1" applyAlignment="1">
      <alignment horizontal="center"/>
    </xf>
    <xf numFmtId="9" fontId="17" fillId="36" borderId="17" xfId="0" applyNumberFormat="1" applyFont="1" applyFill="1" applyBorder="1" applyAlignment="1">
      <alignment horizontal="center"/>
    </xf>
    <xf numFmtId="9" fontId="17" fillId="36" borderId="0" xfId="0" applyNumberFormat="1" applyFont="1" applyFill="1" applyAlignment="1">
      <alignment horizontal="center"/>
    </xf>
    <xf numFmtId="0" fontId="0" fillId="0" borderId="0" xfId="0" pivotButton="1"/>
    <xf numFmtId="0" fontId="0" fillId="0" borderId="0" xfId="0" applyAlignment="1">
      <alignment horizontal="left"/>
    </xf>
    <xf numFmtId="0" fontId="0" fillId="37" borderId="0" xfId="0" applyFill="1"/>
    <xf numFmtId="0" fontId="0" fillId="33" borderId="10" xfId="0" applyFill="1" applyBorder="1"/>
    <xf numFmtId="0" fontId="0" fillId="38" borderId="0" xfId="0" applyFill="1"/>
    <xf numFmtId="0" fontId="0" fillId="33" borderId="0" xfId="0" applyFill="1" applyAlignment="1">
      <alignment horizontal="center"/>
    </xf>
    <xf numFmtId="0" fontId="0" fillId="33" borderId="10" xfId="0" applyFill="1" applyBorder="1" applyAlignment="1">
      <alignment horizontal="center"/>
    </xf>
    <xf numFmtId="0" fontId="0" fillId="0" borderId="10" xfId="0" applyBorder="1" applyAlignment="1">
      <alignment horizontal="right"/>
    </xf>
    <xf numFmtId="0" fontId="0" fillId="0" borderId="19" xfId="0" applyBorder="1" applyAlignment="1">
      <alignment horizontal="center"/>
    </xf>
    <xf numFmtId="0" fontId="0" fillId="38" borderId="10" xfId="0" applyFill="1" applyBorder="1" applyAlignment="1">
      <alignment horizontal="center"/>
    </xf>
    <xf numFmtId="9" fontId="0" fillId="38" borderId="10" xfId="42" applyFont="1" applyFill="1" applyBorder="1" applyAlignment="1">
      <alignment horizontal="center"/>
    </xf>
    <xf numFmtId="0" fontId="0" fillId="0" borderId="0" xfId="0" applyFill="1" applyAlignment="1">
      <alignment horizont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08">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3" formatCode="0%"/>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9"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border>
    </dxf>
    <dxf>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3" formatCode="0%"/>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1"/>
        <name val="Calibri"/>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fill>
        <patternFill patternType="solid">
          <fgColor indexed="64"/>
          <bgColor theme="9"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0"/>
        <name val="Calibri"/>
        <family val="2"/>
        <scheme val="minor"/>
      </font>
      <numFmt numFmtId="13" formatCode="0%"/>
      <fill>
        <patternFill patternType="solid">
          <fgColor indexed="64"/>
          <bgColor theme="4"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0"/>
        <name val="Calibri"/>
        <family val="2"/>
        <scheme val="minor"/>
      </font>
      <fill>
        <patternFill patternType="solid">
          <fgColor indexed="64"/>
          <bgColor theme="4"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0"/>
        <name val="Calibri"/>
        <family val="2"/>
        <scheme val="minor"/>
      </font>
      <fill>
        <patternFill patternType="solid">
          <fgColor indexed="64"/>
          <bgColor theme="4"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0"/>
        <name val="Calibri"/>
        <family val="2"/>
        <scheme val="minor"/>
      </font>
      <fill>
        <patternFill patternType="solid">
          <fgColor indexed="64"/>
          <bgColor theme="4"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0"/>
        <name val="Calibri"/>
        <family val="2"/>
        <scheme val="minor"/>
      </font>
      <fill>
        <patternFill patternType="solid">
          <fgColor indexed="64"/>
          <bgColor theme="4"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fill>
        <patternFill patternType="solid">
          <fgColor indexed="64"/>
          <bgColor theme="9"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3" formatCode="0%"/>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3" formatCode="0%"/>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3" formatCode="0%"/>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fill>
        <patternFill patternType="solid">
          <fgColor indexed="64"/>
          <bgColor theme="9"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fill>
        <patternFill patternType="solid">
          <fgColor indexed="64"/>
          <bgColor theme="9"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DA5F7"/>
      <color rgb="FFB1EF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[olympics.xlsx]Pivot table!PivotTable1</c:name>
    <c:fmtId val="2"/>
  </c:pivotSource>
  <c:chart>
    <c:title>
      <c:tx>
        <c:rich>
          <a:bodyPr rot="0" spcFirstLastPara="1" vertOverflow="ellipsis" vert="horz" wrap="square" anchor="ctr" anchorCtr="1"/>
          <a:lstStyle/>
          <a:p>
            <a:pPr>
              <a:defRPr sz="1400" b="1" i="0" u="sng" strike="noStrike" kern="1200" spc="0" baseline="0">
                <a:solidFill>
                  <a:schemeClr val="accent1">
                    <a:lumMod val="50000"/>
                  </a:schemeClr>
                </a:solidFill>
                <a:latin typeface="+mn-lt"/>
                <a:ea typeface="+mn-ea"/>
                <a:cs typeface="+mn-cs"/>
              </a:defRPr>
            </a:pPr>
            <a:r>
              <a:rPr lang="en-US" b="1" u="sng">
                <a:solidFill>
                  <a:schemeClr val="accent1">
                    <a:lumMod val="50000"/>
                  </a:schemeClr>
                </a:solidFill>
              </a:rPr>
              <a:t>Region-wise</a:t>
            </a:r>
            <a:r>
              <a:rPr lang="en-US" b="1" u="sng" baseline="0">
                <a:solidFill>
                  <a:schemeClr val="accent1">
                    <a:lumMod val="50000"/>
                  </a:schemeClr>
                </a:solidFill>
              </a:rPr>
              <a:t> total medals</a:t>
            </a:r>
            <a:endParaRPr lang="en-US" b="1" u="sng">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table'!$A$4:$A$11</c:f>
              <c:strCache>
                <c:ptCount val="7"/>
                <c:pt idx="0">
                  <c:v>Africa</c:v>
                </c:pt>
                <c:pt idx="1">
                  <c:v>Asia</c:v>
                </c:pt>
                <c:pt idx="2">
                  <c:v>Caribbean</c:v>
                </c:pt>
                <c:pt idx="3">
                  <c:v>Europe</c:v>
                </c:pt>
                <c:pt idx="4">
                  <c:v>North America</c:v>
                </c:pt>
                <c:pt idx="5">
                  <c:v>Oceania</c:v>
                </c:pt>
                <c:pt idx="6">
                  <c:v>South America</c:v>
                </c:pt>
              </c:strCache>
            </c:strRef>
          </c:cat>
          <c:val>
            <c:numRef>
              <c:f>'Pivot table'!$B$4:$B$11</c:f>
              <c:numCache>
                <c:formatCode>General</c:formatCode>
                <c:ptCount val="7"/>
                <c:pt idx="0">
                  <c:v>39</c:v>
                </c:pt>
                <c:pt idx="1">
                  <c:v>282</c:v>
                </c:pt>
                <c:pt idx="2">
                  <c:v>7</c:v>
                </c:pt>
                <c:pt idx="3">
                  <c:v>415</c:v>
                </c:pt>
                <c:pt idx="4">
                  <c:v>178</c:v>
                </c:pt>
                <c:pt idx="5">
                  <c:v>74</c:v>
                </c:pt>
                <c:pt idx="6">
                  <c:v>36</c:v>
                </c:pt>
              </c:numCache>
            </c:numRef>
          </c:val>
          <c:extLst>
            <c:ext xmlns:c16="http://schemas.microsoft.com/office/drawing/2014/chart" uri="{C3380CC4-5D6E-409C-BE32-E72D297353CC}">
              <c16:uniqueId val="{00000000-8FDF-4721-A5E5-CFE2496D4A0E}"/>
            </c:ext>
          </c:extLst>
        </c:ser>
        <c:dLbls>
          <c:showLegendKey val="0"/>
          <c:showVal val="0"/>
          <c:showCatName val="0"/>
          <c:showSerName val="0"/>
          <c:showPercent val="0"/>
          <c:showBubbleSize val="0"/>
        </c:dLbls>
        <c:gapWidth val="219"/>
        <c:overlap val="-27"/>
        <c:axId val="390227432"/>
        <c:axId val="390227792"/>
      </c:barChart>
      <c:catAx>
        <c:axId val="390227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227792"/>
        <c:crosses val="autoZero"/>
        <c:auto val="1"/>
        <c:lblAlgn val="ctr"/>
        <c:lblOffset val="100"/>
        <c:noMultiLvlLbl val="0"/>
      </c:catAx>
      <c:valAx>
        <c:axId val="39022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227432"/>
        <c:crosses val="autoZero"/>
        <c:crossBetween val="between"/>
      </c:valAx>
      <c:spPr>
        <a:noFill/>
        <a:ln>
          <a:noFill/>
        </a:ln>
        <a:effectLst/>
      </c:spPr>
    </c:plotArea>
    <c:legend>
      <c:legendPos val="r"/>
      <c:layout>
        <c:manualLayout>
          <c:xMode val="edge"/>
          <c:yMode val="edge"/>
          <c:x val="0.88961060286089488"/>
          <c:y val="0.43730791828201449"/>
          <c:w val="8.7501116379398391E-2"/>
          <c:h val="7.899410181501327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[olympics.xlsx]Pivot table!PivotTable2</c:name>
    <c:fmtId val="2"/>
  </c:pivotSource>
  <c:chart>
    <c:title>
      <c:tx>
        <c:rich>
          <a:bodyPr rot="0" spcFirstLastPara="1" vertOverflow="ellipsis" vert="horz" wrap="square" anchor="ctr" anchorCtr="1"/>
          <a:lstStyle/>
          <a:p>
            <a:pPr>
              <a:defRPr sz="1400" b="1" i="0" u="sng" strike="noStrike" kern="1200" spc="0" baseline="0">
                <a:solidFill>
                  <a:schemeClr val="accent1">
                    <a:lumMod val="50000"/>
                  </a:schemeClr>
                </a:solidFill>
                <a:latin typeface="+mn-lt"/>
                <a:ea typeface="+mn-ea"/>
                <a:cs typeface="+mn-cs"/>
              </a:defRPr>
            </a:pPr>
            <a:r>
              <a:rPr lang="en-IN" b="1" u="sng">
                <a:solidFill>
                  <a:schemeClr val="accent1">
                    <a:lumMod val="50000"/>
                  </a:schemeClr>
                </a:solidFill>
              </a:rPr>
              <a:t> Average</a:t>
            </a:r>
            <a:r>
              <a:rPr lang="en-IN" b="1" u="sng" baseline="0">
                <a:solidFill>
                  <a:schemeClr val="accent1">
                    <a:lumMod val="50000"/>
                  </a:schemeClr>
                </a:solidFill>
              </a:rPr>
              <a:t> Medal distribution by region</a:t>
            </a:r>
            <a:endParaRPr lang="en-IN" b="1" u="sng">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accent1">
                  <a:lumMod val="50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table'!$B$13</c:f>
              <c:strCache>
                <c:ptCount val="1"/>
                <c:pt idx="0">
                  <c:v>Average of Gold %</c:v>
                </c:pt>
              </c:strCache>
            </c:strRef>
          </c:tx>
          <c:spPr>
            <a:solidFill>
              <a:schemeClr val="accent1"/>
            </a:solidFill>
            <a:ln>
              <a:noFill/>
            </a:ln>
            <a:effectLst/>
          </c:spPr>
          <c:invertIfNegative val="0"/>
          <c:cat>
            <c:strRef>
              <c:f>'Pivot table'!$A$14:$A$21</c:f>
              <c:strCache>
                <c:ptCount val="7"/>
                <c:pt idx="0">
                  <c:v>Africa</c:v>
                </c:pt>
                <c:pt idx="1">
                  <c:v>Asia</c:v>
                </c:pt>
                <c:pt idx="2">
                  <c:v>Caribbean</c:v>
                </c:pt>
                <c:pt idx="3">
                  <c:v>Europe</c:v>
                </c:pt>
                <c:pt idx="4">
                  <c:v>North America</c:v>
                </c:pt>
                <c:pt idx="5">
                  <c:v>Oceania</c:v>
                </c:pt>
                <c:pt idx="6">
                  <c:v>South America</c:v>
                </c:pt>
              </c:strCache>
            </c:strRef>
          </c:cat>
          <c:val>
            <c:numRef>
              <c:f>'Pivot table'!$B$14:$B$21</c:f>
              <c:numCache>
                <c:formatCode>General</c:formatCode>
                <c:ptCount val="7"/>
                <c:pt idx="0">
                  <c:v>0.30113636363636365</c:v>
                </c:pt>
                <c:pt idx="1">
                  <c:v>0.24408137268714197</c:v>
                </c:pt>
                <c:pt idx="2">
                  <c:v>0.375</c:v>
                </c:pt>
                <c:pt idx="3">
                  <c:v>#N/A</c:v>
                </c:pt>
                <c:pt idx="4">
                  <c:v>0.26757369614512466</c:v>
                </c:pt>
                <c:pt idx="5">
                  <c:v>0.27987421383647798</c:v>
                </c:pt>
                <c:pt idx="6">
                  <c:v>0.16904761904761906</c:v>
                </c:pt>
              </c:numCache>
            </c:numRef>
          </c:val>
          <c:extLst>
            <c:ext xmlns:c16="http://schemas.microsoft.com/office/drawing/2014/chart" uri="{C3380CC4-5D6E-409C-BE32-E72D297353CC}">
              <c16:uniqueId val="{00000000-DA3C-46F8-80AE-E972252CC5D8}"/>
            </c:ext>
          </c:extLst>
        </c:ser>
        <c:ser>
          <c:idx val="1"/>
          <c:order val="1"/>
          <c:tx>
            <c:strRef>
              <c:f>'Pivot table'!$C$13</c:f>
              <c:strCache>
                <c:ptCount val="1"/>
                <c:pt idx="0">
                  <c:v>Average of Silver%</c:v>
                </c:pt>
              </c:strCache>
            </c:strRef>
          </c:tx>
          <c:spPr>
            <a:solidFill>
              <a:schemeClr val="accent2"/>
            </a:solidFill>
            <a:ln>
              <a:noFill/>
            </a:ln>
            <a:effectLst/>
          </c:spPr>
          <c:invertIfNegative val="0"/>
          <c:cat>
            <c:strRef>
              <c:f>'Pivot table'!$A$14:$A$21</c:f>
              <c:strCache>
                <c:ptCount val="7"/>
                <c:pt idx="0">
                  <c:v>Africa</c:v>
                </c:pt>
                <c:pt idx="1">
                  <c:v>Asia</c:v>
                </c:pt>
                <c:pt idx="2">
                  <c:v>Caribbean</c:v>
                </c:pt>
                <c:pt idx="3">
                  <c:v>Europe</c:v>
                </c:pt>
                <c:pt idx="4">
                  <c:v>North America</c:v>
                </c:pt>
                <c:pt idx="5">
                  <c:v>Oceania</c:v>
                </c:pt>
                <c:pt idx="6">
                  <c:v>South America</c:v>
                </c:pt>
              </c:strCache>
            </c:strRef>
          </c:cat>
          <c:val>
            <c:numRef>
              <c:f>'Pivot table'!$C$14:$C$21</c:f>
              <c:numCache>
                <c:formatCode>General</c:formatCode>
                <c:ptCount val="7"/>
                <c:pt idx="0">
                  <c:v>0.25820707070707072</c:v>
                </c:pt>
                <c:pt idx="1">
                  <c:v>0.29366811073541838</c:v>
                </c:pt>
                <c:pt idx="2">
                  <c:v>0.125</c:v>
                </c:pt>
                <c:pt idx="3">
                  <c:v>#N/A</c:v>
                </c:pt>
                <c:pt idx="4">
                  <c:v>0.25993953136810283</c:v>
                </c:pt>
                <c:pt idx="5">
                  <c:v>0.56949685534591199</c:v>
                </c:pt>
                <c:pt idx="6">
                  <c:v>0.47619047619047616</c:v>
                </c:pt>
              </c:numCache>
            </c:numRef>
          </c:val>
          <c:extLst>
            <c:ext xmlns:c16="http://schemas.microsoft.com/office/drawing/2014/chart" uri="{C3380CC4-5D6E-409C-BE32-E72D297353CC}">
              <c16:uniqueId val="{00000001-DA3C-46F8-80AE-E972252CC5D8}"/>
            </c:ext>
          </c:extLst>
        </c:ser>
        <c:ser>
          <c:idx val="2"/>
          <c:order val="2"/>
          <c:tx>
            <c:strRef>
              <c:f>'Pivot table'!$D$13</c:f>
              <c:strCache>
                <c:ptCount val="1"/>
                <c:pt idx="0">
                  <c:v>Average of Bronze%</c:v>
                </c:pt>
              </c:strCache>
            </c:strRef>
          </c:tx>
          <c:spPr>
            <a:solidFill>
              <a:schemeClr val="accent3"/>
            </a:solidFill>
            <a:ln>
              <a:noFill/>
            </a:ln>
            <a:effectLst/>
          </c:spPr>
          <c:invertIfNegative val="0"/>
          <c:cat>
            <c:strRef>
              <c:f>'Pivot table'!$A$14:$A$21</c:f>
              <c:strCache>
                <c:ptCount val="7"/>
                <c:pt idx="0">
                  <c:v>Africa</c:v>
                </c:pt>
                <c:pt idx="1">
                  <c:v>Asia</c:v>
                </c:pt>
                <c:pt idx="2">
                  <c:v>Caribbean</c:v>
                </c:pt>
                <c:pt idx="3">
                  <c:v>Europe</c:v>
                </c:pt>
                <c:pt idx="4">
                  <c:v>North America</c:v>
                </c:pt>
                <c:pt idx="5">
                  <c:v>Oceania</c:v>
                </c:pt>
                <c:pt idx="6">
                  <c:v>South America</c:v>
                </c:pt>
              </c:strCache>
            </c:strRef>
          </c:cat>
          <c:val>
            <c:numRef>
              <c:f>'Pivot table'!$D$14:$D$21</c:f>
              <c:numCache>
                <c:formatCode>General</c:formatCode>
                <c:ptCount val="7"/>
                <c:pt idx="0">
                  <c:v>0.44065656565656558</c:v>
                </c:pt>
                <c:pt idx="1">
                  <c:v>0.46225051657743965</c:v>
                </c:pt>
                <c:pt idx="2">
                  <c:v>0.5</c:v>
                </c:pt>
                <c:pt idx="3">
                  <c:v>#N/A</c:v>
                </c:pt>
                <c:pt idx="4">
                  <c:v>0.47248677248677245</c:v>
                </c:pt>
                <c:pt idx="5">
                  <c:v>0.15062893081761006</c:v>
                </c:pt>
                <c:pt idx="6">
                  <c:v>0.35476190476190478</c:v>
                </c:pt>
              </c:numCache>
            </c:numRef>
          </c:val>
          <c:extLst>
            <c:ext xmlns:c16="http://schemas.microsoft.com/office/drawing/2014/chart" uri="{C3380CC4-5D6E-409C-BE32-E72D297353CC}">
              <c16:uniqueId val="{00000002-DA3C-46F8-80AE-E972252CC5D8}"/>
            </c:ext>
          </c:extLst>
        </c:ser>
        <c:dLbls>
          <c:showLegendKey val="0"/>
          <c:showVal val="0"/>
          <c:showCatName val="0"/>
          <c:showSerName val="0"/>
          <c:showPercent val="0"/>
          <c:showBubbleSize val="0"/>
        </c:dLbls>
        <c:gapWidth val="219"/>
        <c:overlap val="-27"/>
        <c:axId val="533421928"/>
        <c:axId val="533425528"/>
      </c:barChart>
      <c:catAx>
        <c:axId val="533421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425528"/>
        <c:crosses val="autoZero"/>
        <c:auto val="1"/>
        <c:lblAlgn val="ctr"/>
        <c:lblOffset val="100"/>
        <c:noMultiLvlLbl val="0"/>
      </c:catAx>
      <c:valAx>
        <c:axId val="533425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421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[olympics.xlsx]Pivot table!PivotTable4</c:name>
    <c:fmtId val="2"/>
  </c:pivotSource>
  <c:chart>
    <c:title>
      <c:tx>
        <c:rich>
          <a:bodyPr rot="0" spcFirstLastPara="1" vertOverflow="ellipsis" vert="horz" wrap="square" anchor="ctr" anchorCtr="1"/>
          <a:lstStyle/>
          <a:p>
            <a:pPr>
              <a:defRPr sz="1400" b="1" i="0" u="sng" strike="noStrike" kern="1200" spc="0" baseline="0">
                <a:solidFill>
                  <a:schemeClr val="accent1">
                    <a:lumMod val="50000"/>
                  </a:schemeClr>
                </a:solidFill>
                <a:latin typeface="+mn-lt"/>
                <a:ea typeface="+mn-ea"/>
                <a:cs typeface="+mn-cs"/>
              </a:defRPr>
            </a:pPr>
            <a:r>
              <a:rPr lang="en-US" b="1" u="sng">
                <a:solidFill>
                  <a:schemeClr val="accent1">
                    <a:lumMod val="50000"/>
                  </a:schemeClr>
                </a:solidFill>
              </a:rPr>
              <a:t>Countries</a:t>
            </a:r>
            <a:r>
              <a:rPr lang="en-US" b="1" u="sng" baseline="0">
                <a:solidFill>
                  <a:schemeClr val="accent1">
                    <a:lumMod val="50000"/>
                  </a:schemeClr>
                </a:solidFill>
              </a:rPr>
              <a:t> by GDP category</a:t>
            </a:r>
            <a:endParaRPr lang="en-US" b="1" u="sng">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table'!$B$31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7C-44B5-866E-8E9F0EC33B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7C-44B5-866E-8E9F0EC33B26}"/>
              </c:ext>
            </c:extLst>
          </c:dPt>
          <c:cat>
            <c:strRef>
              <c:f>'Pivot table'!$A$32:$A$34</c:f>
              <c:strCache>
                <c:ptCount val="2"/>
                <c:pt idx="0">
                  <c:v>High GDP</c:v>
                </c:pt>
                <c:pt idx="1">
                  <c:v>Low GDP</c:v>
                </c:pt>
              </c:strCache>
            </c:strRef>
          </c:cat>
          <c:val>
            <c:numRef>
              <c:f>'Pivot table'!$B$32:$B$34</c:f>
              <c:numCache>
                <c:formatCode>General</c:formatCode>
                <c:ptCount val="2"/>
                <c:pt idx="0">
                  <c:v>17</c:v>
                </c:pt>
                <c:pt idx="1">
                  <c:v>73</c:v>
                </c:pt>
              </c:numCache>
            </c:numRef>
          </c:val>
          <c:extLst>
            <c:ext xmlns:c16="http://schemas.microsoft.com/office/drawing/2014/chart" uri="{C3380CC4-5D6E-409C-BE32-E72D297353CC}">
              <c16:uniqueId val="{00000004-DB7C-44B5-866E-8E9F0EC33B2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76660788623974363"/>
          <c:y val="0.41556935123042504"/>
          <c:w val="0.14404888437970545"/>
          <c:h val="0.2180440786085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[olympics.xlsx]Pivot table!PivotTable5</c:name>
    <c:fmtId val="2"/>
  </c:pivotSource>
  <c:chart>
    <c:title>
      <c:tx>
        <c:rich>
          <a:bodyPr rot="0" spcFirstLastPara="1" vertOverflow="ellipsis" vert="horz" wrap="square" anchor="ctr" anchorCtr="1"/>
          <a:lstStyle/>
          <a:p>
            <a:pPr>
              <a:defRPr sz="1400" b="1" i="0" u="sng" strike="noStrike" kern="1200" spc="0" baseline="0">
                <a:solidFill>
                  <a:schemeClr val="accent1">
                    <a:lumMod val="50000"/>
                  </a:schemeClr>
                </a:solidFill>
                <a:latin typeface="+mn-lt"/>
                <a:ea typeface="+mn-ea"/>
                <a:cs typeface="+mn-cs"/>
              </a:defRPr>
            </a:pPr>
            <a:r>
              <a:rPr lang="en-US" b="1" u="sng">
                <a:solidFill>
                  <a:schemeClr val="accent1">
                    <a:lumMod val="50000"/>
                  </a:schemeClr>
                </a:solidFill>
              </a:rPr>
              <a:t>Performance</a:t>
            </a:r>
            <a:r>
              <a:rPr lang="en-US" b="1" u="sng" baseline="0">
                <a:solidFill>
                  <a:schemeClr val="accent1">
                    <a:lumMod val="50000"/>
                  </a:schemeClr>
                </a:solidFill>
              </a:rPr>
              <a:t> category distribution</a:t>
            </a:r>
            <a:endParaRPr lang="en-US" b="1" u="sng">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3.8698328935795952E-2"/>
          <c:y val="0.17201156279601731"/>
          <c:w val="0.65285216656625045"/>
          <c:h val="0.77697395376488343"/>
        </c:manualLayout>
      </c:layout>
      <c:barChart>
        <c:barDir val="bar"/>
        <c:grouping val="clustered"/>
        <c:varyColors val="0"/>
        <c:ser>
          <c:idx val="0"/>
          <c:order val="0"/>
          <c:tx>
            <c:strRef>
              <c:f>'Pivot table'!$B$36</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0024-48ED-AAF5-CAA85FE1BFE6}"/>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0024-48ED-AAF5-CAA85FE1BFE6}"/>
              </c:ext>
            </c:extLst>
          </c:dPt>
          <c:cat>
            <c:strRef>
              <c:f>'Pivot table'!$A$37:$A$39</c:f>
              <c:strCache>
                <c:ptCount val="2"/>
                <c:pt idx="0">
                  <c:v>Low performer</c:v>
                </c:pt>
                <c:pt idx="1">
                  <c:v>Top performer</c:v>
                </c:pt>
              </c:strCache>
            </c:strRef>
          </c:cat>
          <c:val>
            <c:numRef>
              <c:f>'Pivot table'!$B$37:$B$39</c:f>
              <c:numCache>
                <c:formatCode>General</c:formatCode>
                <c:ptCount val="2"/>
                <c:pt idx="0">
                  <c:v>87</c:v>
                </c:pt>
                <c:pt idx="1">
                  <c:v>3</c:v>
                </c:pt>
              </c:numCache>
            </c:numRef>
          </c:val>
          <c:extLst>
            <c:ext xmlns:c16="http://schemas.microsoft.com/office/drawing/2014/chart" uri="{C3380CC4-5D6E-409C-BE32-E72D297353CC}">
              <c16:uniqueId val="{00000004-0024-48ED-AAF5-CAA85FE1BFE6}"/>
            </c:ext>
          </c:extLst>
        </c:ser>
        <c:dLbls>
          <c:showLegendKey val="0"/>
          <c:showVal val="0"/>
          <c:showCatName val="0"/>
          <c:showSerName val="0"/>
          <c:showPercent val="0"/>
          <c:showBubbleSize val="0"/>
        </c:dLbls>
        <c:gapWidth val="100"/>
        <c:axId val="548736928"/>
        <c:axId val="548732968"/>
      </c:barChart>
      <c:valAx>
        <c:axId val="5487329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736928"/>
        <c:crosses val="autoZero"/>
        <c:crossBetween val="between"/>
      </c:valAx>
      <c:catAx>
        <c:axId val="5487369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732968"/>
        <c:crosses val="autoZero"/>
        <c:auto val="1"/>
        <c:lblAlgn val="ctr"/>
        <c:lblOffset val="100"/>
        <c:noMultiLvlLbl val="0"/>
      </c:catAx>
      <c:spPr>
        <a:noFill/>
        <a:ln>
          <a:noFill/>
        </a:ln>
        <a:effectLst/>
      </c:spPr>
    </c:plotArea>
    <c:legend>
      <c:legendPos val="r"/>
      <c:layout>
        <c:manualLayout>
          <c:xMode val="edge"/>
          <c:yMode val="edge"/>
          <c:x val="0.76082307650970171"/>
          <c:y val="0.4013635346756152"/>
          <c:w val="0.21875559149768309"/>
          <c:h val="0.1584764772455437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[olympics.xlsx]Pivot table!PivotTable6</c:name>
    <c:fmtId val="2"/>
  </c:pivotSource>
  <c:chart>
    <c:title>
      <c:tx>
        <c:rich>
          <a:bodyPr rot="0" spcFirstLastPara="1" vertOverflow="ellipsis" vert="horz" wrap="square" anchor="ctr" anchorCtr="1"/>
          <a:lstStyle/>
          <a:p>
            <a:pPr algn="ctr">
              <a:defRPr sz="1400" b="1" i="0" u="sng" strike="noStrike" kern="1200" spc="0" baseline="0">
                <a:solidFill>
                  <a:schemeClr val="accent1">
                    <a:lumMod val="50000"/>
                  </a:schemeClr>
                </a:solidFill>
                <a:latin typeface="+mn-lt"/>
                <a:ea typeface="+mn-ea"/>
                <a:cs typeface="+mn-cs"/>
              </a:defRPr>
            </a:pPr>
            <a:r>
              <a:rPr lang="en-US" b="1" u="sng">
                <a:solidFill>
                  <a:schemeClr val="accent1">
                    <a:lumMod val="50000"/>
                  </a:schemeClr>
                </a:solidFill>
              </a:rPr>
              <a:t>Top</a:t>
            </a:r>
            <a:r>
              <a:rPr lang="en-US" b="1" u="sng" baseline="0">
                <a:solidFill>
                  <a:schemeClr val="accent1">
                    <a:lumMod val="50000"/>
                  </a:schemeClr>
                </a:solidFill>
              </a:rPr>
              <a:t> 10 countries by gold medals</a:t>
            </a:r>
            <a:endParaRPr lang="en-US" b="1" u="sng">
              <a:solidFill>
                <a:schemeClr val="accent1">
                  <a:lumMod val="50000"/>
                </a:schemeClr>
              </a:solidFill>
            </a:endParaRPr>
          </a:p>
        </c:rich>
      </c:tx>
      <c:overlay val="0"/>
      <c:spPr>
        <a:noFill/>
        <a:ln>
          <a:noFill/>
        </a:ln>
        <a:effectLst/>
      </c:spPr>
      <c:txPr>
        <a:bodyPr rot="0" spcFirstLastPara="1" vertOverflow="ellipsis" vert="horz" wrap="square" anchor="ctr" anchorCtr="1"/>
        <a:lstStyle/>
        <a:p>
          <a:pPr algn="ctr">
            <a:defRPr sz="1400" b="1" i="0" u="sng"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table'!$B$41</c:f>
              <c:strCache>
                <c:ptCount val="1"/>
                <c:pt idx="0">
                  <c:v>Total</c:v>
                </c:pt>
              </c:strCache>
            </c:strRef>
          </c:tx>
          <c:spPr>
            <a:solidFill>
              <a:schemeClr val="accent5"/>
            </a:solidFill>
            <a:ln>
              <a:noFill/>
            </a:ln>
            <a:effectLst/>
          </c:spPr>
          <c:invertIfNegative val="0"/>
          <c:cat>
            <c:strRef>
              <c:f>'Pivot table'!$A$42:$A$132</c:f>
              <c:strCache>
                <c:ptCount val="90"/>
                <c:pt idx="0">
                  <c:v>India</c:v>
                </c:pt>
                <c:pt idx="1">
                  <c:v>Brazil</c:v>
                </c:pt>
                <c:pt idx="2">
                  <c:v>Albania</c:v>
                </c:pt>
                <c:pt idx="3">
                  <c:v>Algeria</c:v>
                </c:pt>
                <c:pt idx="4">
                  <c:v>Argentina</c:v>
                </c:pt>
                <c:pt idx="5">
                  <c:v>Armenia</c:v>
                </c:pt>
                <c:pt idx="6">
                  <c:v>Australia</c:v>
                </c:pt>
                <c:pt idx="7">
                  <c:v>Austria</c:v>
                </c:pt>
                <c:pt idx="8">
                  <c:v>Azerbaijan</c:v>
                </c:pt>
                <c:pt idx="9">
                  <c:v>Bahrain</c:v>
                </c:pt>
                <c:pt idx="10">
                  <c:v>Belgium</c:v>
                </c:pt>
                <c:pt idx="11">
                  <c:v>Botswana</c:v>
                </c:pt>
                <c:pt idx="12">
                  <c:v>Bulgaria</c:v>
                </c:pt>
                <c:pt idx="13">
                  <c:v>Canada</c:v>
                </c:pt>
                <c:pt idx="14">
                  <c:v>Cape Verde</c:v>
                </c:pt>
                <c:pt idx="15">
                  <c:v>Chile</c:v>
                </c:pt>
                <c:pt idx="16">
                  <c:v>China</c:v>
                </c:pt>
                <c:pt idx="17">
                  <c:v>Colombia</c:v>
                </c:pt>
                <c:pt idx="18">
                  <c:v>Croatia</c:v>
                </c:pt>
                <c:pt idx="19">
                  <c:v>Cuba</c:v>
                </c:pt>
                <c:pt idx="20">
                  <c:v>Cyprus</c:v>
                </c:pt>
                <c:pt idx="21">
                  <c:v>Czech Republic</c:v>
                </c:pt>
                <c:pt idx="22">
                  <c:v>Denmark</c:v>
                </c:pt>
                <c:pt idx="23">
                  <c:v>Dominica</c:v>
                </c:pt>
                <c:pt idx="24">
                  <c:v>Dominican Republic</c:v>
                </c:pt>
                <c:pt idx="25">
                  <c:v>Ecuador</c:v>
                </c:pt>
                <c:pt idx="26">
                  <c:v>Egypt</c:v>
                </c:pt>
                <c:pt idx="27">
                  <c:v>Ethiopia</c:v>
                </c:pt>
                <c:pt idx="28">
                  <c:v>Fiji</c:v>
                </c:pt>
                <c:pt idx="29">
                  <c:v>France</c:v>
                </c:pt>
                <c:pt idx="30">
                  <c:v>Georgia</c:v>
                </c:pt>
                <c:pt idx="31">
                  <c:v>Germany</c:v>
                </c:pt>
                <c:pt idx="32">
                  <c:v>Great Britain</c:v>
                </c:pt>
                <c:pt idx="33">
                  <c:v>Greece</c:v>
                </c:pt>
                <c:pt idx="34">
                  <c:v>Grenada</c:v>
                </c:pt>
                <c:pt idx="35">
                  <c:v>Guatemala</c:v>
                </c:pt>
                <c:pt idx="36">
                  <c:v>Hong Kong</c:v>
                </c:pt>
                <c:pt idx="37">
                  <c:v>Hungary</c:v>
                </c:pt>
                <c:pt idx="38">
                  <c:v>Indonesia</c:v>
                </c:pt>
                <c:pt idx="39">
                  <c:v>Iran</c:v>
                </c:pt>
                <c:pt idx="40">
                  <c:v>Ireland</c:v>
                </c:pt>
                <c:pt idx="41">
                  <c:v>Israel</c:v>
                </c:pt>
                <c:pt idx="42">
                  <c:v>Italy</c:v>
                </c:pt>
                <c:pt idx="43">
                  <c:v>Ivory Coast</c:v>
                </c:pt>
                <c:pt idx="44">
                  <c:v>Jamaica</c:v>
                </c:pt>
                <c:pt idx="45">
                  <c:v>Japan</c:v>
                </c:pt>
                <c:pt idx="46">
                  <c:v>Jordan</c:v>
                </c:pt>
                <c:pt idx="47">
                  <c:v>Kazakhstan</c:v>
                </c:pt>
                <c:pt idx="48">
                  <c:v>Kenya</c:v>
                </c:pt>
                <c:pt idx="49">
                  <c:v>Kosovo</c:v>
                </c:pt>
                <c:pt idx="50">
                  <c:v>Kyrgyzstan</c:v>
                </c:pt>
                <c:pt idx="51">
                  <c:v>Lithuania</c:v>
                </c:pt>
                <c:pt idx="52">
                  <c:v>Malaysia</c:v>
                </c:pt>
                <c:pt idx="53">
                  <c:v>Mexico</c:v>
                </c:pt>
                <c:pt idx="54">
                  <c:v>Moldova</c:v>
                </c:pt>
                <c:pt idx="55">
                  <c:v>Mongolia</c:v>
                </c:pt>
                <c:pt idx="56">
                  <c:v>Morocco</c:v>
                </c:pt>
                <c:pt idx="57">
                  <c:v>Netherlands</c:v>
                </c:pt>
                <c:pt idx="58">
                  <c:v>New Zealand</c:v>
                </c:pt>
                <c:pt idx="59">
                  <c:v>North Korea</c:v>
                </c:pt>
                <c:pt idx="60">
                  <c:v>Norway</c:v>
                </c:pt>
                <c:pt idx="61">
                  <c:v>Pakistan</c:v>
                </c:pt>
                <c:pt idx="62">
                  <c:v>Panama</c:v>
                </c:pt>
                <c:pt idx="63">
                  <c:v>Peru</c:v>
                </c:pt>
                <c:pt idx="64">
                  <c:v>Philippines</c:v>
                </c:pt>
                <c:pt idx="65">
                  <c:v>Poland</c:v>
                </c:pt>
                <c:pt idx="66">
                  <c:v>Portugal</c:v>
                </c:pt>
                <c:pt idx="67">
                  <c:v>Puerto Rico</c:v>
                </c:pt>
                <c:pt idx="68">
                  <c:v>Qatar</c:v>
                </c:pt>
                <c:pt idx="69">
                  <c:v>Romania</c:v>
                </c:pt>
                <c:pt idx="70">
                  <c:v>Serbia</c:v>
                </c:pt>
                <c:pt idx="71">
                  <c:v>Singapore</c:v>
                </c:pt>
                <c:pt idx="72">
                  <c:v>Slovakia</c:v>
                </c:pt>
                <c:pt idx="73">
                  <c:v>Slovenia</c:v>
                </c:pt>
                <c:pt idx="74">
                  <c:v>South Africa</c:v>
                </c:pt>
                <c:pt idx="75">
                  <c:v>South Korea</c:v>
                </c:pt>
                <c:pt idx="76">
                  <c:v>Spain</c:v>
                </c:pt>
                <c:pt idx="77">
                  <c:v>St Lucia</c:v>
                </c:pt>
                <c:pt idx="78">
                  <c:v>Sweden</c:v>
                </c:pt>
                <c:pt idx="79">
                  <c:v>Switzerland</c:v>
                </c:pt>
                <c:pt idx="80">
                  <c:v>Taiwan</c:v>
                </c:pt>
                <c:pt idx="81">
                  <c:v>Tajikistan</c:v>
                </c:pt>
                <c:pt idx="82">
                  <c:v>Thailand</c:v>
                </c:pt>
                <c:pt idx="83">
                  <c:v>Tunisia</c:v>
                </c:pt>
                <c:pt idx="84">
                  <c:v>Turkey</c:v>
                </c:pt>
                <c:pt idx="85">
                  <c:v>Uganda</c:v>
                </c:pt>
                <c:pt idx="86">
                  <c:v>Ukraine</c:v>
                </c:pt>
                <c:pt idx="87">
                  <c:v>United States</c:v>
                </c:pt>
                <c:pt idx="88">
                  <c:v>Uzbekistan</c:v>
                </c:pt>
                <c:pt idx="89">
                  <c:v>Zambia</c:v>
                </c:pt>
              </c:strCache>
            </c:strRef>
          </c:cat>
          <c:val>
            <c:numRef>
              <c:f>'Pivot table'!$B$42:$B$132</c:f>
              <c:numCache>
                <c:formatCode>General</c:formatCode>
                <c:ptCount val="90"/>
                <c:pt idx="0">
                  <c:v>0</c:v>
                </c:pt>
                <c:pt idx="1">
                  <c:v>3</c:v>
                </c:pt>
                <c:pt idx="2">
                  <c:v>0</c:v>
                </c:pt>
                <c:pt idx="3">
                  <c:v>2</c:v>
                </c:pt>
                <c:pt idx="4">
                  <c:v>1</c:v>
                </c:pt>
                <c:pt idx="5">
                  <c:v>0</c:v>
                </c:pt>
                <c:pt idx="6">
                  <c:v>18</c:v>
                </c:pt>
                <c:pt idx="7">
                  <c:v>2</c:v>
                </c:pt>
                <c:pt idx="8">
                  <c:v>2</c:v>
                </c:pt>
                <c:pt idx="9">
                  <c:v>2</c:v>
                </c:pt>
                <c:pt idx="10">
                  <c:v>3</c:v>
                </c:pt>
                <c:pt idx="11">
                  <c:v>1</c:v>
                </c:pt>
                <c:pt idx="12">
                  <c:v>3</c:v>
                </c:pt>
                <c:pt idx="13">
                  <c:v>9</c:v>
                </c:pt>
                <c:pt idx="14">
                  <c:v>0</c:v>
                </c:pt>
                <c:pt idx="15">
                  <c:v>1</c:v>
                </c:pt>
                <c:pt idx="16">
                  <c:v>40</c:v>
                </c:pt>
                <c:pt idx="17">
                  <c:v>0</c:v>
                </c:pt>
                <c:pt idx="18">
                  <c:v>2</c:v>
                </c:pt>
                <c:pt idx="19">
                  <c:v>2</c:v>
                </c:pt>
                <c:pt idx="20">
                  <c:v>0</c:v>
                </c:pt>
                <c:pt idx="21">
                  <c:v>3</c:v>
                </c:pt>
                <c:pt idx="22">
                  <c:v>2</c:v>
                </c:pt>
                <c:pt idx="23">
                  <c:v>1</c:v>
                </c:pt>
                <c:pt idx="24">
                  <c:v>1</c:v>
                </c:pt>
                <c:pt idx="25">
                  <c:v>1</c:v>
                </c:pt>
                <c:pt idx="26">
                  <c:v>1</c:v>
                </c:pt>
                <c:pt idx="27">
                  <c:v>1</c:v>
                </c:pt>
                <c:pt idx="28">
                  <c:v>0</c:v>
                </c:pt>
                <c:pt idx="29">
                  <c:v>16</c:v>
                </c:pt>
                <c:pt idx="30">
                  <c:v>3</c:v>
                </c:pt>
                <c:pt idx="31">
                  <c:v>12</c:v>
                </c:pt>
                <c:pt idx="32">
                  <c:v>14</c:v>
                </c:pt>
                <c:pt idx="33">
                  <c:v>1</c:v>
                </c:pt>
                <c:pt idx="34">
                  <c:v>0</c:v>
                </c:pt>
                <c:pt idx="35">
                  <c:v>1</c:v>
                </c:pt>
                <c:pt idx="36">
                  <c:v>2</c:v>
                </c:pt>
                <c:pt idx="37">
                  <c:v>6</c:v>
                </c:pt>
                <c:pt idx="38">
                  <c:v>2</c:v>
                </c:pt>
                <c:pt idx="39">
                  <c:v>3</c:v>
                </c:pt>
                <c:pt idx="40">
                  <c:v>4</c:v>
                </c:pt>
                <c:pt idx="41">
                  <c:v>1</c:v>
                </c:pt>
                <c:pt idx="42">
                  <c:v>12</c:v>
                </c:pt>
                <c:pt idx="43">
                  <c:v>0</c:v>
                </c:pt>
                <c:pt idx="44">
                  <c:v>1</c:v>
                </c:pt>
                <c:pt idx="45">
                  <c:v>20</c:v>
                </c:pt>
                <c:pt idx="46">
                  <c:v>0</c:v>
                </c:pt>
                <c:pt idx="47">
                  <c:v>1</c:v>
                </c:pt>
                <c:pt idx="48">
                  <c:v>4</c:v>
                </c:pt>
                <c:pt idx="49">
                  <c:v>0</c:v>
                </c:pt>
                <c:pt idx="50">
                  <c:v>0</c:v>
                </c:pt>
                <c:pt idx="51">
                  <c:v>0</c:v>
                </c:pt>
                <c:pt idx="52">
                  <c:v>0</c:v>
                </c:pt>
                <c:pt idx="53">
                  <c:v>0</c:v>
                </c:pt>
                <c:pt idx="54">
                  <c:v>0</c:v>
                </c:pt>
                <c:pt idx="55">
                  <c:v>0</c:v>
                </c:pt>
                <c:pt idx="56">
                  <c:v>1</c:v>
                </c:pt>
                <c:pt idx="57">
                  <c:v>15</c:v>
                </c:pt>
                <c:pt idx="58">
                  <c:v>10</c:v>
                </c:pt>
                <c:pt idx="59">
                  <c:v>0</c:v>
                </c:pt>
                <c:pt idx="60">
                  <c:v>4</c:v>
                </c:pt>
                <c:pt idx="61">
                  <c:v>1</c:v>
                </c:pt>
                <c:pt idx="62">
                  <c:v>0</c:v>
                </c:pt>
                <c:pt idx="63">
                  <c:v>0</c:v>
                </c:pt>
                <c:pt idx="64">
                  <c:v>2</c:v>
                </c:pt>
                <c:pt idx="65">
                  <c:v>1</c:v>
                </c:pt>
                <c:pt idx="66">
                  <c:v>1</c:v>
                </c:pt>
                <c:pt idx="67">
                  <c:v>0</c:v>
                </c:pt>
                <c:pt idx="68">
                  <c:v>0</c:v>
                </c:pt>
                <c:pt idx="69">
                  <c:v>3</c:v>
                </c:pt>
                <c:pt idx="70">
                  <c:v>3</c:v>
                </c:pt>
                <c:pt idx="71">
                  <c:v>0</c:v>
                </c:pt>
                <c:pt idx="72">
                  <c:v>0</c:v>
                </c:pt>
                <c:pt idx="73">
                  <c:v>2</c:v>
                </c:pt>
                <c:pt idx="74">
                  <c:v>1</c:v>
                </c:pt>
                <c:pt idx="75">
                  <c:v>13</c:v>
                </c:pt>
                <c:pt idx="76">
                  <c:v>5</c:v>
                </c:pt>
                <c:pt idx="77">
                  <c:v>1</c:v>
                </c:pt>
                <c:pt idx="78">
                  <c:v>4</c:v>
                </c:pt>
                <c:pt idx="79">
                  <c:v>1</c:v>
                </c:pt>
                <c:pt idx="80">
                  <c:v>2</c:v>
                </c:pt>
                <c:pt idx="81">
                  <c:v>0</c:v>
                </c:pt>
                <c:pt idx="82">
                  <c:v>1</c:v>
                </c:pt>
                <c:pt idx="83">
                  <c:v>1</c:v>
                </c:pt>
                <c:pt idx="84">
                  <c:v>0</c:v>
                </c:pt>
                <c:pt idx="85">
                  <c:v>1</c:v>
                </c:pt>
                <c:pt idx="86">
                  <c:v>3</c:v>
                </c:pt>
                <c:pt idx="87">
                  <c:v>40</c:v>
                </c:pt>
                <c:pt idx="88">
                  <c:v>8</c:v>
                </c:pt>
                <c:pt idx="89">
                  <c:v>0</c:v>
                </c:pt>
              </c:numCache>
            </c:numRef>
          </c:val>
          <c:extLst>
            <c:ext xmlns:c16="http://schemas.microsoft.com/office/drawing/2014/chart" uri="{C3380CC4-5D6E-409C-BE32-E72D297353CC}">
              <c16:uniqueId val="{00000000-90FB-4CC8-A9B4-4D16F64B5768}"/>
            </c:ext>
          </c:extLst>
        </c:ser>
        <c:dLbls>
          <c:showLegendKey val="0"/>
          <c:showVal val="0"/>
          <c:showCatName val="0"/>
          <c:showSerName val="0"/>
          <c:showPercent val="0"/>
          <c:showBubbleSize val="0"/>
        </c:dLbls>
        <c:gapWidth val="182"/>
        <c:axId val="321815728"/>
        <c:axId val="321807088"/>
      </c:barChart>
      <c:catAx>
        <c:axId val="321815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807088"/>
        <c:crosses val="autoZero"/>
        <c:auto val="1"/>
        <c:lblAlgn val="ctr"/>
        <c:lblOffset val="100"/>
        <c:noMultiLvlLbl val="0"/>
      </c:catAx>
      <c:valAx>
        <c:axId val="321807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81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[olympics.xlsx]Pivot table!PivotTable3</c:name>
    <c:fmtId val="2"/>
  </c:pivotSource>
  <c:chart>
    <c:title>
      <c:tx>
        <c:rich>
          <a:bodyPr rot="0" spcFirstLastPara="1" vertOverflow="ellipsis" vert="horz" wrap="square" anchor="ctr" anchorCtr="1"/>
          <a:lstStyle/>
          <a:p>
            <a:pPr>
              <a:defRPr sz="1400" b="1" i="0" u="sng" strike="noStrike" kern="1200" cap="none" spc="0" normalizeH="0" baseline="0">
                <a:solidFill>
                  <a:schemeClr val="accent1">
                    <a:lumMod val="50000"/>
                  </a:schemeClr>
                </a:solidFill>
                <a:latin typeface="+mn-lt"/>
                <a:ea typeface="+mj-ea"/>
                <a:cs typeface="+mj-cs"/>
              </a:defRPr>
            </a:pPr>
            <a:r>
              <a:rPr lang="en-IN" sz="1400" b="1" u="sng">
                <a:solidFill>
                  <a:schemeClr val="accent1">
                    <a:lumMod val="50000"/>
                  </a:schemeClr>
                </a:solidFill>
                <a:latin typeface="+mn-lt"/>
              </a:rPr>
              <a:t>Average GDP per medal by Region</a:t>
            </a:r>
          </a:p>
        </c:rich>
      </c:tx>
      <c:overlay val="0"/>
      <c:spPr>
        <a:solidFill>
          <a:schemeClr val="bg1"/>
        </a:solidFill>
        <a:ln>
          <a:noFill/>
        </a:ln>
        <a:effectLst/>
      </c:spPr>
      <c:txPr>
        <a:bodyPr rot="0" spcFirstLastPara="1" vertOverflow="ellipsis" vert="horz" wrap="square" anchor="ctr" anchorCtr="1"/>
        <a:lstStyle/>
        <a:p>
          <a:pPr>
            <a:defRPr sz="1400" b="1" i="0" u="sng" strike="noStrike" kern="1200" cap="none" spc="0" normalizeH="0" baseline="0">
              <a:solidFill>
                <a:schemeClr val="accent1">
                  <a:lumMod val="50000"/>
                </a:schemeClr>
              </a:solidFill>
              <a:latin typeface="+mn-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8100" cap="rnd">
            <a:solidFill>
              <a:schemeClr val="accent1"/>
            </a:solidFill>
            <a:round/>
          </a:ln>
          <a:effectLst/>
        </c:spPr>
        <c:marker>
          <c:symbol val="circle"/>
          <c:size val="8"/>
          <c:spPr>
            <a:solidFill>
              <a:schemeClr val="accent1"/>
            </a:solidFill>
            <a:ln>
              <a:noFill/>
            </a:ln>
            <a:effectLst/>
          </c:spPr>
        </c:marker>
        <c:dLbl>
          <c:idx val="0"/>
          <c:layout>
            <c:manualLayout>
              <c:x val="-8.3534426408921461E-2"/>
              <c:y val="-7.44679408551572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layout>
            <c:manualLayout>
              <c:x val="2.7011012304839193E-3"/>
              <c:y val="3.257972412413131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3663258452749302"/>
                  <c:h val="6.9744064095201688E-2"/>
                </c:manualLayout>
              </c15:layout>
            </c:ext>
          </c:extLst>
        </c:dLbl>
      </c:pivotFmt>
      <c:pivotFmt>
        <c:idx val="5"/>
        <c:spPr>
          <a:ln w="38100" cap="rnd">
            <a:solidFill>
              <a:schemeClr val="accent1"/>
            </a:solidFill>
            <a:round/>
          </a:ln>
          <a:effectLst/>
        </c:spPr>
        <c:marker>
          <c:symbol val="circle"/>
          <c:size val="8"/>
          <c:spPr>
            <a:solidFill>
              <a:schemeClr val="accent1"/>
            </a:solidFill>
            <a:ln>
              <a:noFill/>
            </a:ln>
            <a:effectLst/>
          </c:spPr>
        </c:marker>
        <c:dLbl>
          <c:idx val="0"/>
          <c:layout>
            <c:manualLayout>
              <c:x val="-9.0432969052469753E-2"/>
              <c:y val="-3.956091034125894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2506687846761982"/>
                  <c:h val="6.0435571488307034E-2"/>
                </c:manualLayout>
              </c15:layout>
            </c:ext>
          </c:extLst>
        </c:dLbl>
      </c:pivotFmt>
      <c:pivotFmt>
        <c:idx val="6"/>
        <c:spPr>
          <a:ln w="38100" cap="rnd">
            <a:solidFill>
              <a:schemeClr val="accent1"/>
            </a:solidFill>
            <a:round/>
          </a:ln>
          <a:effectLst/>
        </c:spPr>
        <c:marker>
          <c:symbol val="circle"/>
          <c:size val="8"/>
          <c:spPr>
            <a:solidFill>
              <a:schemeClr val="accent1"/>
            </a:solidFill>
            <a:ln>
              <a:noFill/>
            </a:ln>
            <a:effectLst/>
          </c:spPr>
        </c:marker>
        <c:dLbl>
          <c:idx val="0"/>
          <c:layout>
            <c:manualLayout>
              <c:x val="-6.1113189222675987E-2"/>
              <c:y val="-6.9813694551709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8100" cap="rnd">
            <a:solidFill>
              <a:schemeClr val="accent1"/>
            </a:solidFill>
            <a:round/>
          </a:ln>
          <a:effectLst/>
        </c:spPr>
        <c:marker>
          <c:symbol val="circle"/>
          <c:size val="8"/>
          <c:spPr>
            <a:solidFill>
              <a:schemeClr val="accent1"/>
            </a:solidFill>
            <a:ln>
              <a:noFill/>
            </a:ln>
            <a:effectLst/>
          </c:spPr>
        </c:marker>
        <c:dLbl>
          <c:idx val="0"/>
          <c:layout>
            <c:manualLayout>
              <c:x val="-0.17484263214476226"/>
              <c:y val="-1.39627389103419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8100" cap="rnd">
            <a:solidFill>
              <a:schemeClr val="accent1"/>
            </a:solidFill>
            <a:round/>
          </a:ln>
          <a:effectLst/>
        </c:spPr>
        <c:marker>
          <c:symbol val="circle"/>
          <c:size val="8"/>
          <c:spPr>
            <a:solidFill>
              <a:schemeClr val="accent1"/>
            </a:solidFill>
            <a:ln>
              <a:noFill/>
            </a:ln>
            <a:effectLst/>
          </c:spPr>
        </c:marker>
        <c:dLbl>
          <c:idx val="0"/>
          <c:layout>
            <c:manualLayout>
              <c:x val="-7.7751573378984778E-2"/>
              <c:y val="4.65424630344732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table'!$B$22</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Pt>
            <c:idx val="0"/>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5-AF77-433D-A267-A16C2CB91051}"/>
              </c:ext>
            </c:extLst>
          </c:dPt>
          <c:dPt>
            <c:idx val="1"/>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4-AF77-433D-A267-A16C2CB91051}"/>
              </c:ext>
            </c:extLst>
          </c:dPt>
          <c:dPt>
            <c:idx val="2"/>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3-AF77-433D-A267-A16C2CB91051}"/>
              </c:ext>
            </c:extLst>
          </c:dPt>
          <c:dPt>
            <c:idx val="4"/>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2-AF77-433D-A267-A16C2CB91051}"/>
              </c:ext>
            </c:extLst>
          </c:dPt>
          <c:dPt>
            <c:idx val="5"/>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1-AF77-433D-A267-A16C2CB91051}"/>
              </c:ext>
            </c:extLst>
          </c:dPt>
          <c:dPt>
            <c:idx val="6"/>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0-AF77-433D-A267-A16C2CB91051}"/>
              </c:ext>
            </c:extLst>
          </c:dPt>
          <c:dLbls>
            <c:dLbl>
              <c:idx val="0"/>
              <c:layout>
                <c:manualLayout>
                  <c:x val="-7.7751573378984778E-2"/>
                  <c:y val="4.65424630344732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F77-433D-A267-A16C2CB91051}"/>
                </c:ext>
              </c:extLst>
            </c:dLbl>
            <c:dLbl>
              <c:idx val="1"/>
              <c:layout>
                <c:manualLayout>
                  <c:x val="-0.17484263214476226"/>
                  <c:y val="-1.39627389103419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F77-433D-A267-A16C2CB91051}"/>
                </c:ext>
              </c:extLst>
            </c:dLbl>
            <c:dLbl>
              <c:idx val="2"/>
              <c:layout>
                <c:manualLayout>
                  <c:x val="-6.1113189222675987E-2"/>
                  <c:y val="-6.98136945517099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F77-433D-A267-A16C2CB91051}"/>
                </c:ext>
              </c:extLst>
            </c:dLbl>
            <c:dLbl>
              <c:idx val="4"/>
              <c:layout>
                <c:manualLayout>
                  <c:x val="-9.0432969052469753E-2"/>
                  <c:y val="-3.956091034125894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2506687846761982"/>
                      <c:h val="6.0435571488307034E-2"/>
                    </c:manualLayout>
                  </c15:layout>
                </c:ext>
                <c:ext xmlns:c16="http://schemas.microsoft.com/office/drawing/2014/chart" uri="{C3380CC4-5D6E-409C-BE32-E72D297353CC}">
                  <c16:uniqueId val="{00000002-AF77-433D-A267-A16C2CB91051}"/>
                </c:ext>
              </c:extLst>
            </c:dLbl>
            <c:dLbl>
              <c:idx val="5"/>
              <c:layout>
                <c:manualLayout>
                  <c:x val="2.7011012304839193E-3"/>
                  <c:y val="3.257972412413131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3663258452749302"/>
                      <c:h val="6.9744064095201688E-2"/>
                    </c:manualLayout>
                  </c15:layout>
                </c:ext>
                <c:ext xmlns:c16="http://schemas.microsoft.com/office/drawing/2014/chart" uri="{C3380CC4-5D6E-409C-BE32-E72D297353CC}">
                  <c16:uniqueId val="{00000001-AF77-433D-A267-A16C2CB91051}"/>
                </c:ext>
              </c:extLst>
            </c:dLbl>
            <c:dLbl>
              <c:idx val="6"/>
              <c:layout>
                <c:manualLayout>
                  <c:x val="-8.3534426408921461E-2"/>
                  <c:y val="-7.44679408551572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F77-433D-A267-A16C2CB910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table'!$A$23:$A$30</c:f>
              <c:strCache>
                <c:ptCount val="7"/>
                <c:pt idx="0">
                  <c:v>Africa</c:v>
                </c:pt>
                <c:pt idx="1">
                  <c:v>Asia</c:v>
                </c:pt>
                <c:pt idx="2">
                  <c:v>Caribbean</c:v>
                </c:pt>
                <c:pt idx="3">
                  <c:v>Europe</c:v>
                </c:pt>
                <c:pt idx="4">
                  <c:v>North America</c:v>
                </c:pt>
                <c:pt idx="5">
                  <c:v>Oceania</c:v>
                </c:pt>
                <c:pt idx="6">
                  <c:v>South America</c:v>
                </c:pt>
              </c:strCache>
            </c:strRef>
          </c:cat>
          <c:val>
            <c:numRef>
              <c:f>'Pivot table'!$B$23:$B$30</c:f>
              <c:numCache>
                <c:formatCode>General</c:formatCode>
                <c:ptCount val="7"/>
                <c:pt idx="0">
                  <c:v>1679.4332196969699</c:v>
                </c:pt>
                <c:pt idx="1">
                  <c:v>9078.7617892452108</c:v>
                </c:pt>
                <c:pt idx="2">
                  <c:v>9891.3250000000007</c:v>
                </c:pt>
                <c:pt idx="3">
                  <c:v>#N/A</c:v>
                </c:pt>
                <c:pt idx="4">
                  <c:v>2757.7294504913079</c:v>
                </c:pt>
                <c:pt idx="5">
                  <c:v>3171.8427641509429</c:v>
                </c:pt>
                <c:pt idx="6">
                  <c:v>6161.2685952380953</c:v>
                </c:pt>
              </c:numCache>
            </c:numRef>
          </c:val>
          <c:smooth val="0"/>
          <c:extLst>
            <c:ext xmlns:c16="http://schemas.microsoft.com/office/drawing/2014/chart" uri="{C3380CC4-5D6E-409C-BE32-E72D297353CC}">
              <c16:uniqueId val="{00000000-3820-4681-A3C8-CE1C65CCD4EC}"/>
            </c:ext>
          </c:extLst>
        </c:ser>
        <c:dLbls>
          <c:dLblPos val="ctr"/>
          <c:showLegendKey val="0"/>
          <c:showVal val="1"/>
          <c:showCatName val="0"/>
          <c:showSerName val="0"/>
          <c:showPercent val="0"/>
          <c:showBubbleSize val="0"/>
        </c:dLbls>
        <c:marker val="1"/>
        <c:smooth val="0"/>
        <c:axId val="317737912"/>
        <c:axId val="317737552"/>
      </c:lineChart>
      <c:catAx>
        <c:axId val="317737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17737552"/>
        <c:crosses val="autoZero"/>
        <c:auto val="1"/>
        <c:lblAlgn val="ctr"/>
        <c:lblOffset val="100"/>
        <c:noMultiLvlLbl val="0"/>
      </c:catAx>
      <c:valAx>
        <c:axId val="31773755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737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[olympics.xlsx]Pivot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Region-wise</a:t>
            </a:r>
            <a:r>
              <a:rPr lang="en-US" baseline="0"/>
              <a:t> total medals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table'!$A$4:$A$11</c:f>
              <c:strCache>
                <c:ptCount val="7"/>
                <c:pt idx="0">
                  <c:v>Africa</c:v>
                </c:pt>
                <c:pt idx="1">
                  <c:v>Asia</c:v>
                </c:pt>
                <c:pt idx="2">
                  <c:v>Caribbean</c:v>
                </c:pt>
                <c:pt idx="3">
                  <c:v>Europe</c:v>
                </c:pt>
                <c:pt idx="4">
                  <c:v>North America</c:v>
                </c:pt>
                <c:pt idx="5">
                  <c:v>Oceania</c:v>
                </c:pt>
                <c:pt idx="6">
                  <c:v>South America</c:v>
                </c:pt>
              </c:strCache>
            </c:strRef>
          </c:cat>
          <c:val>
            <c:numRef>
              <c:f>'Pivot table'!$B$4:$B$11</c:f>
              <c:numCache>
                <c:formatCode>General</c:formatCode>
                <c:ptCount val="7"/>
                <c:pt idx="0">
                  <c:v>39</c:v>
                </c:pt>
                <c:pt idx="1">
                  <c:v>282</c:v>
                </c:pt>
                <c:pt idx="2">
                  <c:v>7</c:v>
                </c:pt>
                <c:pt idx="3">
                  <c:v>415</c:v>
                </c:pt>
                <c:pt idx="4">
                  <c:v>178</c:v>
                </c:pt>
                <c:pt idx="5">
                  <c:v>74</c:v>
                </c:pt>
                <c:pt idx="6">
                  <c:v>36</c:v>
                </c:pt>
              </c:numCache>
            </c:numRef>
          </c:val>
          <c:extLst>
            <c:ext xmlns:c16="http://schemas.microsoft.com/office/drawing/2014/chart" uri="{C3380CC4-5D6E-409C-BE32-E72D297353CC}">
              <c16:uniqueId val="{00000000-463E-479E-ACA3-AB86F8391A3D}"/>
            </c:ext>
          </c:extLst>
        </c:ser>
        <c:dLbls>
          <c:showLegendKey val="0"/>
          <c:showVal val="0"/>
          <c:showCatName val="0"/>
          <c:showSerName val="0"/>
          <c:showPercent val="0"/>
          <c:showBubbleSize val="0"/>
        </c:dLbls>
        <c:gapWidth val="219"/>
        <c:overlap val="-27"/>
        <c:axId val="390227432"/>
        <c:axId val="390227792"/>
      </c:barChart>
      <c:catAx>
        <c:axId val="390227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227792"/>
        <c:crosses val="autoZero"/>
        <c:auto val="1"/>
        <c:lblAlgn val="ctr"/>
        <c:lblOffset val="100"/>
        <c:noMultiLvlLbl val="0"/>
      </c:catAx>
      <c:valAx>
        <c:axId val="39022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227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[olympics.xlsx]Pivot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Average</a:t>
            </a:r>
            <a:r>
              <a:rPr lang="en-IN" baseline="0"/>
              <a:t> Medal distribution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table'!$B$13</c:f>
              <c:strCache>
                <c:ptCount val="1"/>
                <c:pt idx="0">
                  <c:v>Average of Gold %</c:v>
                </c:pt>
              </c:strCache>
            </c:strRef>
          </c:tx>
          <c:spPr>
            <a:solidFill>
              <a:schemeClr val="accent1"/>
            </a:solidFill>
            <a:ln>
              <a:noFill/>
            </a:ln>
            <a:effectLst/>
          </c:spPr>
          <c:invertIfNegative val="0"/>
          <c:cat>
            <c:strRef>
              <c:f>'Pivot table'!$A$14:$A$21</c:f>
              <c:strCache>
                <c:ptCount val="7"/>
                <c:pt idx="0">
                  <c:v>Africa</c:v>
                </c:pt>
                <c:pt idx="1">
                  <c:v>Asia</c:v>
                </c:pt>
                <c:pt idx="2">
                  <c:v>Caribbean</c:v>
                </c:pt>
                <c:pt idx="3">
                  <c:v>Europe</c:v>
                </c:pt>
                <c:pt idx="4">
                  <c:v>North America</c:v>
                </c:pt>
                <c:pt idx="5">
                  <c:v>Oceania</c:v>
                </c:pt>
                <c:pt idx="6">
                  <c:v>South America</c:v>
                </c:pt>
              </c:strCache>
            </c:strRef>
          </c:cat>
          <c:val>
            <c:numRef>
              <c:f>'Pivot table'!$B$14:$B$21</c:f>
              <c:numCache>
                <c:formatCode>General</c:formatCode>
                <c:ptCount val="7"/>
                <c:pt idx="0">
                  <c:v>0.30113636363636365</c:v>
                </c:pt>
                <c:pt idx="1">
                  <c:v>0.24408137268714197</c:v>
                </c:pt>
                <c:pt idx="2">
                  <c:v>0.375</c:v>
                </c:pt>
                <c:pt idx="3">
                  <c:v>#N/A</c:v>
                </c:pt>
                <c:pt idx="4">
                  <c:v>0.26757369614512466</c:v>
                </c:pt>
                <c:pt idx="5">
                  <c:v>0.27987421383647798</c:v>
                </c:pt>
                <c:pt idx="6">
                  <c:v>0.16904761904761906</c:v>
                </c:pt>
              </c:numCache>
            </c:numRef>
          </c:val>
          <c:extLst>
            <c:ext xmlns:c16="http://schemas.microsoft.com/office/drawing/2014/chart" uri="{C3380CC4-5D6E-409C-BE32-E72D297353CC}">
              <c16:uniqueId val="{00000000-1D39-41D9-A974-885FA68877EB}"/>
            </c:ext>
          </c:extLst>
        </c:ser>
        <c:ser>
          <c:idx val="1"/>
          <c:order val="1"/>
          <c:tx>
            <c:strRef>
              <c:f>'Pivot table'!$C$13</c:f>
              <c:strCache>
                <c:ptCount val="1"/>
                <c:pt idx="0">
                  <c:v>Average of Silver%</c:v>
                </c:pt>
              </c:strCache>
            </c:strRef>
          </c:tx>
          <c:spPr>
            <a:solidFill>
              <a:schemeClr val="accent2"/>
            </a:solidFill>
            <a:ln>
              <a:noFill/>
            </a:ln>
            <a:effectLst/>
          </c:spPr>
          <c:invertIfNegative val="0"/>
          <c:cat>
            <c:strRef>
              <c:f>'Pivot table'!$A$14:$A$21</c:f>
              <c:strCache>
                <c:ptCount val="7"/>
                <c:pt idx="0">
                  <c:v>Africa</c:v>
                </c:pt>
                <c:pt idx="1">
                  <c:v>Asia</c:v>
                </c:pt>
                <c:pt idx="2">
                  <c:v>Caribbean</c:v>
                </c:pt>
                <c:pt idx="3">
                  <c:v>Europe</c:v>
                </c:pt>
                <c:pt idx="4">
                  <c:v>North America</c:v>
                </c:pt>
                <c:pt idx="5">
                  <c:v>Oceania</c:v>
                </c:pt>
                <c:pt idx="6">
                  <c:v>South America</c:v>
                </c:pt>
              </c:strCache>
            </c:strRef>
          </c:cat>
          <c:val>
            <c:numRef>
              <c:f>'Pivot table'!$C$14:$C$21</c:f>
              <c:numCache>
                <c:formatCode>General</c:formatCode>
                <c:ptCount val="7"/>
                <c:pt idx="0">
                  <c:v>0.25820707070707072</c:v>
                </c:pt>
                <c:pt idx="1">
                  <c:v>0.29366811073541838</c:v>
                </c:pt>
                <c:pt idx="2">
                  <c:v>0.125</c:v>
                </c:pt>
                <c:pt idx="3">
                  <c:v>#N/A</c:v>
                </c:pt>
                <c:pt idx="4">
                  <c:v>0.25993953136810283</c:v>
                </c:pt>
                <c:pt idx="5">
                  <c:v>0.56949685534591199</c:v>
                </c:pt>
                <c:pt idx="6">
                  <c:v>0.47619047619047616</c:v>
                </c:pt>
              </c:numCache>
            </c:numRef>
          </c:val>
          <c:extLst>
            <c:ext xmlns:c16="http://schemas.microsoft.com/office/drawing/2014/chart" uri="{C3380CC4-5D6E-409C-BE32-E72D297353CC}">
              <c16:uniqueId val="{00000001-1D39-41D9-A974-885FA68877EB}"/>
            </c:ext>
          </c:extLst>
        </c:ser>
        <c:ser>
          <c:idx val="2"/>
          <c:order val="2"/>
          <c:tx>
            <c:strRef>
              <c:f>'Pivot table'!$D$13</c:f>
              <c:strCache>
                <c:ptCount val="1"/>
                <c:pt idx="0">
                  <c:v>Average of Bronze%</c:v>
                </c:pt>
              </c:strCache>
            </c:strRef>
          </c:tx>
          <c:spPr>
            <a:solidFill>
              <a:schemeClr val="accent3"/>
            </a:solidFill>
            <a:ln>
              <a:noFill/>
            </a:ln>
            <a:effectLst/>
          </c:spPr>
          <c:invertIfNegative val="0"/>
          <c:cat>
            <c:strRef>
              <c:f>'Pivot table'!$A$14:$A$21</c:f>
              <c:strCache>
                <c:ptCount val="7"/>
                <c:pt idx="0">
                  <c:v>Africa</c:v>
                </c:pt>
                <c:pt idx="1">
                  <c:v>Asia</c:v>
                </c:pt>
                <c:pt idx="2">
                  <c:v>Caribbean</c:v>
                </c:pt>
                <c:pt idx="3">
                  <c:v>Europe</c:v>
                </c:pt>
                <c:pt idx="4">
                  <c:v>North America</c:v>
                </c:pt>
                <c:pt idx="5">
                  <c:v>Oceania</c:v>
                </c:pt>
                <c:pt idx="6">
                  <c:v>South America</c:v>
                </c:pt>
              </c:strCache>
            </c:strRef>
          </c:cat>
          <c:val>
            <c:numRef>
              <c:f>'Pivot table'!$D$14:$D$21</c:f>
              <c:numCache>
                <c:formatCode>General</c:formatCode>
                <c:ptCount val="7"/>
                <c:pt idx="0">
                  <c:v>0.44065656565656558</c:v>
                </c:pt>
                <c:pt idx="1">
                  <c:v>0.46225051657743965</c:v>
                </c:pt>
                <c:pt idx="2">
                  <c:v>0.5</c:v>
                </c:pt>
                <c:pt idx="3">
                  <c:v>#N/A</c:v>
                </c:pt>
                <c:pt idx="4">
                  <c:v>0.47248677248677245</c:v>
                </c:pt>
                <c:pt idx="5">
                  <c:v>0.15062893081761006</c:v>
                </c:pt>
                <c:pt idx="6">
                  <c:v>0.35476190476190478</c:v>
                </c:pt>
              </c:numCache>
            </c:numRef>
          </c:val>
          <c:extLst>
            <c:ext xmlns:c16="http://schemas.microsoft.com/office/drawing/2014/chart" uri="{C3380CC4-5D6E-409C-BE32-E72D297353CC}">
              <c16:uniqueId val="{00000002-1D39-41D9-A974-885FA68877EB}"/>
            </c:ext>
          </c:extLst>
        </c:ser>
        <c:dLbls>
          <c:showLegendKey val="0"/>
          <c:showVal val="0"/>
          <c:showCatName val="0"/>
          <c:showSerName val="0"/>
          <c:showPercent val="0"/>
          <c:showBubbleSize val="0"/>
        </c:dLbls>
        <c:gapWidth val="219"/>
        <c:overlap val="-27"/>
        <c:axId val="533421928"/>
        <c:axId val="533425528"/>
      </c:barChart>
      <c:catAx>
        <c:axId val="533421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425528"/>
        <c:crosses val="autoZero"/>
        <c:auto val="1"/>
        <c:lblAlgn val="ctr"/>
        <c:lblOffset val="100"/>
        <c:noMultiLvlLbl val="0"/>
      </c:catAx>
      <c:valAx>
        <c:axId val="533425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421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[olympics.xlsx]Pivot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GDP per medal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table'!$A$23:$A$30</c:f>
              <c:strCache>
                <c:ptCount val="7"/>
                <c:pt idx="0">
                  <c:v>Africa</c:v>
                </c:pt>
                <c:pt idx="1">
                  <c:v>Asia</c:v>
                </c:pt>
                <c:pt idx="2">
                  <c:v>Caribbean</c:v>
                </c:pt>
                <c:pt idx="3">
                  <c:v>Europe</c:v>
                </c:pt>
                <c:pt idx="4">
                  <c:v>North America</c:v>
                </c:pt>
                <c:pt idx="5">
                  <c:v>Oceania</c:v>
                </c:pt>
                <c:pt idx="6">
                  <c:v>South America</c:v>
                </c:pt>
              </c:strCache>
            </c:strRef>
          </c:cat>
          <c:val>
            <c:numRef>
              <c:f>'Pivot table'!$B$23:$B$30</c:f>
              <c:numCache>
                <c:formatCode>General</c:formatCode>
                <c:ptCount val="7"/>
                <c:pt idx="0">
                  <c:v>1679.4332196969699</c:v>
                </c:pt>
                <c:pt idx="1">
                  <c:v>9078.7617892452108</c:v>
                </c:pt>
                <c:pt idx="2">
                  <c:v>9891.3250000000007</c:v>
                </c:pt>
                <c:pt idx="3">
                  <c:v>#N/A</c:v>
                </c:pt>
                <c:pt idx="4">
                  <c:v>2757.7294504913079</c:v>
                </c:pt>
                <c:pt idx="5">
                  <c:v>3171.8427641509429</c:v>
                </c:pt>
                <c:pt idx="6">
                  <c:v>6161.2685952380953</c:v>
                </c:pt>
              </c:numCache>
            </c:numRef>
          </c:val>
          <c:smooth val="0"/>
          <c:extLst>
            <c:ext xmlns:c16="http://schemas.microsoft.com/office/drawing/2014/chart" uri="{C3380CC4-5D6E-409C-BE32-E72D297353CC}">
              <c16:uniqueId val="{00000000-5D88-4FB7-A703-D225867F2733}"/>
            </c:ext>
          </c:extLst>
        </c:ser>
        <c:dLbls>
          <c:showLegendKey val="0"/>
          <c:showVal val="0"/>
          <c:showCatName val="0"/>
          <c:showSerName val="0"/>
          <c:showPercent val="0"/>
          <c:showBubbleSize val="0"/>
        </c:dLbls>
        <c:marker val="1"/>
        <c:smooth val="0"/>
        <c:axId val="317737912"/>
        <c:axId val="317737552"/>
      </c:lineChart>
      <c:catAx>
        <c:axId val="317737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737552"/>
        <c:crosses val="autoZero"/>
        <c:auto val="1"/>
        <c:lblAlgn val="ctr"/>
        <c:lblOffset val="100"/>
        <c:noMultiLvlLbl val="0"/>
      </c:catAx>
      <c:valAx>
        <c:axId val="31773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737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[olympics.xlsx]Pivot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Countries</a:t>
            </a:r>
            <a:r>
              <a:rPr lang="en-US" baseline="0"/>
              <a:t> by GDP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table'!$B$31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6E-4C0B-9EF0-9B70C76C41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6E-4C0B-9EF0-9B70C76C416D}"/>
              </c:ext>
            </c:extLst>
          </c:dPt>
          <c:cat>
            <c:strRef>
              <c:f>'Pivot table'!$A$32:$A$34</c:f>
              <c:strCache>
                <c:ptCount val="2"/>
                <c:pt idx="0">
                  <c:v>High GDP</c:v>
                </c:pt>
                <c:pt idx="1">
                  <c:v>Low GDP</c:v>
                </c:pt>
              </c:strCache>
            </c:strRef>
          </c:cat>
          <c:val>
            <c:numRef>
              <c:f>'Pivot table'!$B$32:$B$34</c:f>
              <c:numCache>
                <c:formatCode>General</c:formatCode>
                <c:ptCount val="2"/>
                <c:pt idx="0">
                  <c:v>17</c:v>
                </c:pt>
                <c:pt idx="1">
                  <c:v>73</c:v>
                </c:pt>
              </c:numCache>
            </c:numRef>
          </c:val>
          <c:extLst>
            <c:ext xmlns:c16="http://schemas.microsoft.com/office/drawing/2014/chart" uri="{C3380CC4-5D6E-409C-BE32-E72D297353CC}">
              <c16:uniqueId val="{00000000-E34E-41D3-BA63-5DB6794DF89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[olympics.xlsx]Pivot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category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AB0-4F88-9B1B-913E51947E8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AB0-4F88-9B1B-913E51947E86}"/>
              </c:ext>
            </c:extLst>
          </c:dPt>
          <c:cat>
            <c:strRef>
              <c:f>'Pivot table'!$A$37:$A$39</c:f>
              <c:strCache>
                <c:ptCount val="2"/>
                <c:pt idx="0">
                  <c:v>Low performer</c:v>
                </c:pt>
                <c:pt idx="1">
                  <c:v>Top performer</c:v>
                </c:pt>
              </c:strCache>
            </c:strRef>
          </c:cat>
          <c:val>
            <c:numRef>
              <c:f>'Pivot table'!$B$37:$B$39</c:f>
              <c:numCache>
                <c:formatCode>General</c:formatCode>
                <c:ptCount val="2"/>
                <c:pt idx="0">
                  <c:v>87</c:v>
                </c:pt>
                <c:pt idx="1">
                  <c:v>3</c:v>
                </c:pt>
              </c:numCache>
            </c:numRef>
          </c:val>
          <c:extLst>
            <c:ext xmlns:c16="http://schemas.microsoft.com/office/drawing/2014/chart" uri="{C3380CC4-5D6E-409C-BE32-E72D297353CC}">
              <c16:uniqueId val="{00000000-0321-41E2-83DE-1876BDDCC3E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[olympics.xlsx]Pivot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countries by gold medals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table'!$B$41</c:f>
              <c:strCache>
                <c:ptCount val="1"/>
                <c:pt idx="0">
                  <c:v>Total</c:v>
                </c:pt>
              </c:strCache>
            </c:strRef>
          </c:tx>
          <c:spPr>
            <a:solidFill>
              <a:schemeClr val="accent1"/>
            </a:solidFill>
            <a:ln>
              <a:noFill/>
            </a:ln>
            <a:effectLst/>
          </c:spPr>
          <c:invertIfNegative val="0"/>
          <c:cat>
            <c:strRef>
              <c:f>'Pivot table'!$A$42:$A$132</c:f>
              <c:strCache>
                <c:ptCount val="90"/>
                <c:pt idx="0">
                  <c:v>India</c:v>
                </c:pt>
                <c:pt idx="1">
                  <c:v>Brazil</c:v>
                </c:pt>
                <c:pt idx="2">
                  <c:v>Albania</c:v>
                </c:pt>
                <c:pt idx="3">
                  <c:v>Algeria</c:v>
                </c:pt>
                <c:pt idx="4">
                  <c:v>Argentina</c:v>
                </c:pt>
                <c:pt idx="5">
                  <c:v>Armenia</c:v>
                </c:pt>
                <c:pt idx="6">
                  <c:v>Australia</c:v>
                </c:pt>
                <c:pt idx="7">
                  <c:v>Austria</c:v>
                </c:pt>
                <c:pt idx="8">
                  <c:v>Azerbaijan</c:v>
                </c:pt>
                <c:pt idx="9">
                  <c:v>Bahrain</c:v>
                </c:pt>
                <c:pt idx="10">
                  <c:v>Belgium</c:v>
                </c:pt>
                <c:pt idx="11">
                  <c:v>Botswana</c:v>
                </c:pt>
                <c:pt idx="12">
                  <c:v>Bulgaria</c:v>
                </c:pt>
                <c:pt idx="13">
                  <c:v>Canada</c:v>
                </c:pt>
                <c:pt idx="14">
                  <c:v>Cape Verde</c:v>
                </c:pt>
                <c:pt idx="15">
                  <c:v>Chile</c:v>
                </c:pt>
                <c:pt idx="16">
                  <c:v>China</c:v>
                </c:pt>
                <c:pt idx="17">
                  <c:v>Colombia</c:v>
                </c:pt>
                <c:pt idx="18">
                  <c:v>Croatia</c:v>
                </c:pt>
                <c:pt idx="19">
                  <c:v>Cuba</c:v>
                </c:pt>
                <c:pt idx="20">
                  <c:v>Cyprus</c:v>
                </c:pt>
                <c:pt idx="21">
                  <c:v>Czech Republic</c:v>
                </c:pt>
                <c:pt idx="22">
                  <c:v>Denmark</c:v>
                </c:pt>
                <c:pt idx="23">
                  <c:v>Dominica</c:v>
                </c:pt>
                <c:pt idx="24">
                  <c:v>Dominican Republic</c:v>
                </c:pt>
                <c:pt idx="25">
                  <c:v>Ecuador</c:v>
                </c:pt>
                <c:pt idx="26">
                  <c:v>Egypt</c:v>
                </c:pt>
                <c:pt idx="27">
                  <c:v>Ethiopia</c:v>
                </c:pt>
                <c:pt idx="28">
                  <c:v>Fiji</c:v>
                </c:pt>
                <c:pt idx="29">
                  <c:v>France</c:v>
                </c:pt>
                <c:pt idx="30">
                  <c:v>Georgia</c:v>
                </c:pt>
                <c:pt idx="31">
                  <c:v>Germany</c:v>
                </c:pt>
                <c:pt idx="32">
                  <c:v>Great Britain</c:v>
                </c:pt>
                <c:pt idx="33">
                  <c:v>Greece</c:v>
                </c:pt>
                <c:pt idx="34">
                  <c:v>Grenada</c:v>
                </c:pt>
                <c:pt idx="35">
                  <c:v>Guatemala</c:v>
                </c:pt>
                <c:pt idx="36">
                  <c:v>Hong Kong</c:v>
                </c:pt>
                <c:pt idx="37">
                  <c:v>Hungary</c:v>
                </c:pt>
                <c:pt idx="38">
                  <c:v>Indonesia</c:v>
                </c:pt>
                <c:pt idx="39">
                  <c:v>Iran</c:v>
                </c:pt>
                <c:pt idx="40">
                  <c:v>Ireland</c:v>
                </c:pt>
                <c:pt idx="41">
                  <c:v>Israel</c:v>
                </c:pt>
                <c:pt idx="42">
                  <c:v>Italy</c:v>
                </c:pt>
                <c:pt idx="43">
                  <c:v>Ivory Coast</c:v>
                </c:pt>
                <c:pt idx="44">
                  <c:v>Jamaica</c:v>
                </c:pt>
                <c:pt idx="45">
                  <c:v>Japan</c:v>
                </c:pt>
                <c:pt idx="46">
                  <c:v>Jordan</c:v>
                </c:pt>
                <c:pt idx="47">
                  <c:v>Kazakhstan</c:v>
                </c:pt>
                <c:pt idx="48">
                  <c:v>Kenya</c:v>
                </c:pt>
                <c:pt idx="49">
                  <c:v>Kosovo</c:v>
                </c:pt>
                <c:pt idx="50">
                  <c:v>Kyrgyzstan</c:v>
                </c:pt>
                <c:pt idx="51">
                  <c:v>Lithuania</c:v>
                </c:pt>
                <c:pt idx="52">
                  <c:v>Malaysia</c:v>
                </c:pt>
                <c:pt idx="53">
                  <c:v>Mexico</c:v>
                </c:pt>
                <c:pt idx="54">
                  <c:v>Moldova</c:v>
                </c:pt>
                <c:pt idx="55">
                  <c:v>Mongolia</c:v>
                </c:pt>
                <c:pt idx="56">
                  <c:v>Morocco</c:v>
                </c:pt>
                <c:pt idx="57">
                  <c:v>Netherlands</c:v>
                </c:pt>
                <c:pt idx="58">
                  <c:v>New Zealand</c:v>
                </c:pt>
                <c:pt idx="59">
                  <c:v>North Korea</c:v>
                </c:pt>
                <c:pt idx="60">
                  <c:v>Norway</c:v>
                </c:pt>
                <c:pt idx="61">
                  <c:v>Pakistan</c:v>
                </c:pt>
                <c:pt idx="62">
                  <c:v>Panama</c:v>
                </c:pt>
                <c:pt idx="63">
                  <c:v>Peru</c:v>
                </c:pt>
                <c:pt idx="64">
                  <c:v>Philippines</c:v>
                </c:pt>
                <c:pt idx="65">
                  <c:v>Poland</c:v>
                </c:pt>
                <c:pt idx="66">
                  <c:v>Portugal</c:v>
                </c:pt>
                <c:pt idx="67">
                  <c:v>Puerto Rico</c:v>
                </c:pt>
                <c:pt idx="68">
                  <c:v>Qatar</c:v>
                </c:pt>
                <c:pt idx="69">
                  <c:v>Romania</c:v>
                </c:pt>
                <c:pt idx="70">
                  <c:v>Serbia</c:v>
                </c:pt>
                <c:pt idx="71">
                  <c:v>Singapore</c:v>
                </c:pt>
                <c:pt idx="72">
                  <c:v>Slovakia</c:v>
                </c:pt>
                <c:pt idx="73">
                  <c:v>Slovenia</c:v>
                </c:pt>
                <c:pt idx="74">
                  <c:v>South Africa</c:v>
                </c:pt>
                <c:pt idx="75">
                  <c:v>South Korea</c:v>
                </c:pt>
                <c:pt idx="76">
                  <c:v>Spain</c:v>
                </c:pt>
                <c:pt idx="77">
                  <c:v>St Lucia</c:v>
                </c:pt>
                <c:pt idx="78">
                  <c:v>Sweden</c:v>
                </c:pt>
                <c:pt idx="79">
                  <c:v>Switzerland</c:v>
                </c:pt>
                <c:pt idx="80">
                  <c:v>Taiwan</c:v>
                </c:pt>
                <c:pt idx="81">
                  <c:v>Tajikistan</c:v>
                </c:pt>
                <c:pt idx="82">
                  <c:v>Thailand</c:v>
                </c:pt>
                <c:pt idx="83">
                  <c:v>Tunisia</c:v>
                </c:pt>
                <c:pt idx="84">
                  <c:v>Turkey</c:v>
                </c:pt>
                <c:pt idx="85">
                  <c:v>Uganda</c:v>
                </c:pt>
                <c:pt idx="86">
                  <c:v>Ukraine</c:v>
                </c:pt>
                <c:pt idx="87">
                  <c:v>United States</c:v>
                </c:pt>
                <c:pt idx="88">
                  <c:v>Uzbekistan</c:v>
                </c:pt>
                <c:pt idx="89">
                  <c:v>Zambia</c:v>
                </c:pt>
              </c:strCache>
            </c:strRef>
          </c:cat>
          <c:val>
            <c:numRef>
              <c:f>'Pivot table'!$B$42:$B$132</c:f>
              <c:numCache>
                <c:formatCode>General</c:formatCode>
                <c:ptCount val="90"/>
                <c:pt idx="0">
                  <c:v>0</c:v>
                </c:pt>
                <c:pt idx="1">
                  <c:v>3</c:v>
                </c:pt>
                <c:pt idx="2">
                  <c:v>0</c:v>
                </c:pt>
                <c:pt idx="3">
                  <c:v>2</c:v>
                </c:pt>
                <c:pt idx="4">
                  <c:v>1</c:v>
                </c:pt>
                <c:pt idx="5">
                  <c:v>0</c:v>
                </c:pt>
                <c:pt idx="6">
                  <c:v>18</c:v>
                </c:pt>
                <c:pt idx="7">
                  <c:v>2</c:v>
                </c:pt>
                <c:pt idx="8">
                  <c:v>2</c:v>
                </c:pt>
                <c:pt idx="9">
                  <c:v>2</c:v>
                </c:pt>
                <c:pt idx="10">
                  <c:v>3</c:v>
                </c:pt>
                <c:pt idx="11">
                  <c:v>1</c:v>
                </c:pt>
                <c:pt idx="12">
                  <c:v>3</c:v>
                </c:pt>
                <c:pt idx="13">
                  <c:v>9</c:v>
                </c:pt>
                <c:pt idx="14">
                  <c:v>0</c:v>
                </c:pt>
                <c:pt idx="15">
                  <c:v>1</c:v>
                </c:pt>
                <c:pt idx="16">
                  <c:v>40</c:v>
                </c:pt>
                <c:pt idx="17">
                  <c:v>0</c:v>
                </c:pt>
                <c:pt idx="18">
                  <c:v>2</c:v>
                </c:pt>
                <c:pt idx="19">
                  <c:v>2</c:v>
                </c:pt>
                <c:pt idx="20">
                  <c:v>0</c:v>
                </c:pt>
                <c:pt idx="21">
                  <c:v>3</c:v>
                </c:pt>
                <c:pt idx="22">
                  <c:v>2</c:v>
                </c:pt>
                <c:pt idx="23">
                  <c:v>1</c:v>
                </c:pt>
                <c:pt idx="24">
                  <c:v>1</c:v>
                </c:pt>
                <c:pt idx="25">
                  <c:v>1</c:v>
                </c:pt>
                <c:pt idx="26">
                  <c:v>1</c:v>
                </c:pt>
                <c:pt idx="27">
                  <c:v>1</c:v>
                </c:pt>
                <c:pt idx="28">
                  <c:v>0</c:v>
                </c:pt>
                <c:pt idx="29">
                  <c:v>16</c:v>
                </c:pt>
                <c:pt idx="30">
                  <c:v>3</c:v>
                </c:pt>
                <c:pt idx="31">
                  <c:v>12</c:v>
                </c:pt>
                <c:pt idx="32">
                  <c:v>14</c:v>
                </c:pt>
                <c:pt idx="33">
                  <c:v>1</c:v>
                </c:pt>
                <c:pt idx="34">
                  <c:v>0</c:v>
                </c:pt>
                <c:pt idx="35">
                  <c:v>1</c:v>
                </c:pt>
                <c:pt idx="36">
                  <c:v>2</c:v>
                </c:pt>
                <c:pt idx="37">
                  <c:v>6</c:v>
                </c:pt>
                <c:pt idx="38">
                  <c:v>2</c:v>
                </c:pt>
                <c:pt idx="39">
                  <c:v>3</c:v>
                </c:pt>
                <c:pt idx="40">
                  <c:v>4</c:v>
                </c:pt>
                <c:pt idx="41">
                  <c:v>1</c:v>
                </c:pt>
                <c:pt idx="42">
                  <c:v>12</c:v>
                </c:pt>
                <c:pt idx="43">
                  <c:v>0</c:v>
                </c:pt>
                <c:pt idx="44">
                  <c:v>1</c:v>
                </c:pt>
                <c:pt idx="45">
                  <c:v>20</c:v>
                </c:pt>
                <c:pt idx="46">
                  <c:v>0</c:v>
                </c:pt>
                <c:pt idx="47">
                  <c:v>1</c:v>
                </c:pt>
                <c:pt idx="48">
                  <c:v>4</c:v>
                </c:pt>
                <c:pt idx="49">
                  <c:v>0</c:v>
                </c:pt>
                <c:pt idx="50">
                  <c:v>0</c:v>
                </c:pt>
                <c:pt idx="51">
                  <c:v>0</c:v>
                </c:pt>
                <c:pt idx="52">
                  <c:v>0</c:v>
                </c:pt>
                <c:pt idx="53">
                  <c:v>0</c:v>
                </c:pt>
                <c:pt idx="54">
                  <c:v>0</c:v>
                </c:pt>
                <c:pt idx="55">
                  <c:v>0</c:v>
                </c:pt>
                <c:pt idx="56">
                  <c:v>1</c:v>
                </c:pt>
                <c:pt idx="57">
                  <c:v>15</c:v>
                </c:pt>
                <c:pt idx="58">
                  <c:v>10</c:v>
                </c:pt>
                <c:pt idx="59">
                  <c:v>0</c:v>
                </c:pt>
                <c:pt idx="60">
                  <c:v>4</c:v>
                </c:pt>
                <c:pt idx="61">
                  <c:v>1</c:v>
                </c:pt>
                <c:pt idx="62">
                  <c:v>0</c:v>
                </c:pt>
                <c:pt idx="63">
                  <c:v>0</c:v>
                </c:pt>
                <c:pt idx="64">
                  <c:v>2</c:v>
                </c:pt>
                <c:pt idx="65">
                  <c:v>1</c:v>
                </c:pt>
                <c:pt idx="66">
                  <c:v>1</c:v>
                </c:pt>
                <c:pt idx="67">
                  <c:v>0</c:v>
                </c:pt>
                <c:pt idx="68">
                  <c:v>0</c:v>
                </c:pt>
                <c:pt idx="69">
                  <c:v>3</c:v>
                </c:pt>
                <c:pt idx="70">
                  <c:v>3</c:v>
                </c:pt>
                <c:pt idx="71">
                  <c:v>0</c:v>
                </c:pt>
                <c:pt idx="72">
                  <c:v>0</c:v>
                </c:pt>
                <c:pt idx="73">
                  <c:v>2</c:v>
                </c:pt>
                <c:pt idx="74">
                  <c:v>1</c:v>
                </c:pt>
                <c:pt idx="75">
                  <c:v>13</c:v>
                </c:pt>
                <c:pt idx="76">
                  <c:v>5</c:v>
                </c:pt>
                <c:pt idx="77">
                  <c:v>1</c:v>
                </c:pt>
                <c:pt idx="78">
                  <c:v>4</c:v>
                </c:pt>
                <c:pt idx="79">
                  <c:v>1</c:v>
                </c:pt>
                <c:pt idx="80">
                  <c:v>2</c:v>
                </c:pt>
                <c:pt idx="81">
                  <c:v>0</c:v>
                </c:pt>
                <c:pt idx="82">
                  <c:v>1</c:v>
                </c:pt>
                <c:pt idx="83">
                  <c:v>1</c:v>
                </c:pt>
                <c:pt idx="84">
                  <c:v>0</c:v>
                </c:pt>
                <c:pt idx="85">
                  <c:v>1</c:v>
                </c:pt>
                <c:pt idx="86">
                  <c:v>3</c:v>
                </c:pt>
                <c:pt idx="87">
                  <c:v>40</c:v>
                </c:pt>
                <c:pt idx="88">
                  <c:v>8</c:v>
                </c:pt>
                <c:pt idx="89">
                  <c:v>0</c:v>
                </c:pt>
              </c:numCache>
            </c:numRef>
          </c:val>
          <c:extLst>
            <c:ext xmlns:c16="http://schemas.microsoft.com/office/drawing/2014/chart" uri="{C3380CC4-5D6E-409C-BE32-E72D297353CC}">
              <c16:uniqueId val="{00000000-B1DC-4655-83DC-047F193279AE}"/>
            </c:ext>
          </c:extLst>
        </c:ser>
        <c:dLbls>
          <c:showLegendKey val="0"/>
          <c:showVal val="0"/>
          <c:showCatName val="0"/>
          <c:showSerName val="0"/>
          <c:showPercent val="0"/>
          <c:showBubbleSize val="0"/>
        </c:dLbls>
        <c:gapWidth val="182"/>
        <c:axId val="321815728"/>
        <c:axId val="321807088"/>
      </c:barChart>
      <c:catAx>
        <c:axId val="321815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807088"/>
        <c:crosses val="autoZero"/>
        <c:auto val="1"/>
        <c:lblAlgn val="ctr"/>
        <c:lblOffset val="100"/>
        <c:noMultiLvlLbl val="0"/>
      </c:catAx>
      <c:valAx>
        <c:axId val="321807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81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10949</xdr:colOff>
      <xdr:row>1</xdr:row>
      <xdr:rowOff>9524</xdr:rowOff>
    </xdr:from>
    <xdr:to>
      <xdr:col>21</xdr:col>
      <xdr:colOff>383190</xdr:colOff>
      <xdr:row>4</xdr:row>
      <xdr:rowOff>153275</xdr:rowOff>
    </xdr:to>
    <xdr:sp macro="" textlink="">
      <xdr:nvSpPr>
        <xdr:cNvPr id="2" name="TextBox 1">
          <a:extLst>
            <a:ext uri="{FF2B5EF4-FFF2-40B4-BE49-F238E27FC236}">
              <a16:creationId xmlns:a16="http://schemas.microsoft.com/office/drawing/2014/main" id="{B66092F5-6A42-2943-BF64-A3E64E1939A1}"/>
            </a:ext>
          </a:extLst>
        </xdr:cNvPr>
        <xdr:cNvSpPr txBox="1"/>
      </xdr:nvSpPr>
      <xdr:spPr>
        <a:xfrm>
          <a:off x="624052" y="195645"/>
          <a:ext cx="12634310" cy="702113"/>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OLYMPICS 2024 MEDALS AND GDP DASHBOARD</a:t>
          </a:r>
        </a:p>
      </xdr:txBody>
    </xdr:sp>
    <xdr:clientData/>
  </xdr:twoCellAnchor>
  <xdr:twoCellAnchor editAs="oneCell">
    <xdr:from>
      <xdr:col>1</xdr:col>
      <xdr:colOff>62057</xdr:colOff>
      <xdr:row>8</xdr:row>
      <xdr:rowOff>91951</xdr:rowOff>
    </xdr:from>
    <xdr:to>
      <xdr:col>4</xdr:col>
      <xdr:colOff>62057</xdr:colOff>
      <xdr:row>20</xdr:row>
      <xdr:rowOff>14843</xdr:rowOff>
    </xdr:to>
    <mc:AlternateContent xmlns:mc="http://schemas.openxmlformats.org/markup-compatibility/2006" xmlns:a14="http://schemas.microsoft.com/office/drawing/2010/main">
      <mc:Choice Requires="a14">
        <xdr:graphicFrame macro="">
          <xdr:nvGraphicFramePr>
            <xdr:cNvPr id="15" name="Region 1">
              <a:extLst>
                <a:ext uri="{FF2B5EF4-FFF2-40B4-BE49-F238E27FC236}">
                  <a16:creationId xmlns:a16="http://schemas.microsoft.com/office/drawing/2014/main" id="{57E85755-F8D8-41FF-81F1-C015A8603C8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75160" y="1580917"/>
              <a:ext cx="1839311" cy="215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68035</xdr:colOff>
      <xdr:row>20</xdr:row>
      <xdr:rowOff>173595</xdr:rowOff>
    </xdr:from>
    <xdr:to>
      <xdr:col>4</xdr:col>
      <xdr:colOff>68035</xdr:colOff>
      <xdr:row>26</xdr:row>
      <xdr:rowOff>21194</xdr:rowOff>
    </xdr:to>
    <mc:AlternateContent xmlns:mc="http://schemas.openxmlformats.org/markup-compatibility/2006" xmlns:a14="http://schemas.microsoft.com/office/drawing/2010/main">
      <mc:Choice Requires="a14">
        <xdr:graphicFrame macro="">
          <xdr:nvGraphicFramePr>
            <xdr:cNvPr id="16" name="GDP Category 1">
              <a:extLst>
                <a:ext uri="{FF2B5EF4-FFF2-40B4-BE49-F238E27FC236}">
                  <a16:creationId xmlns:a16="http://schemas.microsoft.com/office/drawing/2014/main" id="{41D70328-400A-459B-8D37-E73CEA700565}"/>
                </a:ext>
              </a:extLst>
            </xdr:cNvPr>
            <xdr:cNvGraphicFramePr/>
          </xdr:nvGraphicFramePr>
          <xdr:xfrm>
            <a:off x="0" y="0"/>
            <a:ext cx="0" cy="0"/>
          </xdr:xfrm>
          <a:graphic>
            <a:graphicData uri="http://schemas.microsoft.com/office/drawing/2010/slicer">
              <sle:slicer xmlns:sle="http://schemas.microsoft.com/office/drawing/2010/slicer" name="GDP Category 1"/>
            </a:graphicData>
          </a:graphic>
        </xdr:graphicFrame>
      </mc:Choice>
      <mc:Fallback xmlns="">
        <xdr:sp macro="" textlink="">
          <xdr:nvSpPr>
            <xdr:cNvPr id="0" name=""/>
            <xdr:cNvSpPr>
              <a:spLocks noTextEdit="1"/>
            </xdr:cNvSpPr>
          </xdr:nvSpPr>
          <xdr:spPr>
            <a:xfrm>
              <a:off x="681138" y="3896009"/>
              <a:ext cx="1839311" cy="964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48903</xdr:colOff>
      <xdr:row>27</xdr:row>
      <xdr:rowOff>9030</xdr:rowOff>
    </xdr:from>
    <xdr:to>
      <xdr:col>4</xdr:col>
      <xdr:colOff>48903</xdr:colOff>
      <xdr:row>38</xdr:row>
      <xdr:rowOff>120609</xdr:rowOff>
    </xdr:to>
    <mc:AlternateContent xmlns:mc="http://schemas.openxmlformats.org/markup-compatibility/2006" xmlns:a14="http://schemas.microsoft.com/office/drawing/2010/main">
      <mc:Choice Requires="a14">
        <xdr:graphicFrame macro="">
          <xdr:nvGraphicFramePr>
            <xdr:cNvPr id="17" name="Country 1">
              <a:extLst>
                <a:ext uri="{FF2B5EF4-FFF2-40B4-BE49-F238E27FC236}">
                  <a16:creationId xmlns:a16="http://schemas.microsoft.com/office/drawing/2014/main" id="{D5A04293-0F52-40E9-8A4B-92E0C8712883}"/>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662006" y="5034289"/>
              <a:ext cx="1839311" cy="2158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48903</xdr:colOff>
      <xdr:row>39</xdr:row>
      <xdr:rowOff>107166</xdr:rowOff>
    </xdr:from>
    <xdr:to>
      <xdr:col>4</xdr:col>
      <xdr:colOff>48903</xdr:colOff>
      <xdr:row>44</xdr:row>
      <xdr:rowOff>123948</xdr:rowOff>
    </xdr:to>
    <mc:AlternateContent xmlns:mc="http://schemas.openxmlformats.org/markup-compatibility/2006" xmlns:a14="http://schemas.microsoft.com/office/drawing/2010/main">
      <mc:Choice Requires="a14">
        <xdr:graphicFrame macro="">
          <xdr:nvGraphicFramePr>
            <xdr:cNvPr id="18" name="Performace category 1">
              <a:extLst>
                <a:ext uri="{FF2B5EF4-FFF2-40B4-BE49-F238E27FC236}">
                  <a16:creationId xmlns:a16="http://schemas.microsoft.com/office/drawing/2014/main" id="{0CE8C2F9-BDC6-4570-9AAE-75A3EA3A09B3}"/>
                </a:ext>
              </a:extLst>
            </xdr:cNvPr>
            <xdr:cNvGraphicFramePr/>
          </xdr:nvGraphicFramePr>
          <xdr:xfrm>
            <a:off x="0" y="0"/>
            <a:ext cx="0" cy="0"/>
          </xdr:xfrm>
          <a:graphic>
            <a:graphicData uri="http://schemas.microsoft.com/office/drawing/2010/slicer">
              <sle:slicer xmlns:sle="http://schemas.microsoft.com/office/drawing/2010/slicer" name="Performace category 1"/>
            </a:graphicData>
          </a:graphic>
        </xdr:graphicFrame>
      </mc:Choice>
      <mc:Fallback xmlns="">
        <xdr:sp macro="" textlink="">
          <xdr:nvSpPr>
            <xdr:cNvPr id="0" name=""/>
            <xdr:cNvSpPr>
              <a:spLocks noTextEdit="1"/>
            </xdr:cNvSpPr>
          </xdr:nvSpPr>
          <xdr:spPr>
            <a:xfrm>
              <a:off x="662006" y="7365873"/>
              <a:ext cx="1839311" cy="947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xdr:colOff>
      <xdr:row>6</xdr:row>
      <xdr:rowOff>0</xdr:rowOff>
    </xdr:from>
    <xdr:to>
      <xdr:col>13</xdr:col>
      <xdr:colOff>95251</xdr:colOff>
      <xdr:row>20</xdr:row>
      <xdr:rowOff>14288</xdr:rowOff>
    </xdr:to>
    <xdr:graphicFrame macro="">
      <xdr:nvGraphicFramePr>
        <xdr:cNvPr id="19" name="Chart 18">
          <a:extLst>
            <a:ext uri="{FF2B5EF4-FFF2-40B4-BE49-F238E27FC236}">
              <a16:creationId xmlns:a16="http://schemas.microsoft.com/office/drawing/2014/main" id="{CBF0FD8D-D76E-47DC-876E-C9C16E7C9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276225</xdr:colOff>
      <xdr:row>6</xdr:row>
      <xdr:rowOff>0</xdr:rowOff>
    </xdr:from>
    <xdr:to>
      <xdr:col>21</xdr:col>
      <xdr:colOff>374625</xdr:colOff>
      <xdr:row>20</xdr:row>
      <xdr:rowOff>15000</xdr:rowOff>
    </xdr:to>
    <xdr:graphicFrame macro="">
      <xdr:nvGraphicFramePr>
        <xdr:cNvPr id="20" name="Chart 19">
          <a:extLst>
            <a:ext uri="{FF2B5EF4-FFF2-40B4-BE49-F238E27FC236}">
              <a16:creationId xmlns:a16="http://schemas.microsoft.com/office/drawing/2014/main" id="{D5443DDA-9F7B-4FBA-BDB2-990D0CF03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612319</xdr:colOff>
      <xdr:row>20</xdr:row>
      <xdr:rowOff>158750</xdr:rowOff>
    </xdr:from>
    <xdr:to>
      <xdr:col>13</xdr:col>
      <xdr:colOff>76626</xdr:colOff>
      <xdr:row>34</xdr:row>
      <xdr:rowOff>142000</xdr:rowOff>
    </xdr:to>
    <xdr:graphicFrame macro="">
      <xdr:nvGraphicFramePr>
        <xdr:cNvPr id="21" name="Chart 20">
          <a:extLst>
            <a:ext uri="{FF2B5EF4-FFF2-40B4-BE49-F238E27FC236}">
              <a16:creationId xmlns:a16="http://schemas.microsoft.com/office/drawing/2014/main" id="{2366A241-DBD7-4C1B-82A5-826BC6465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283480</xdr:colOff>
      <xdr:row>20</xdr:row>
      <xdr:rowOff>136071</xdr:rowOff>
    </xdr:from>
    <xdr:to>
      <xdr:col>21</xdr:col>
      <xdr:colOff>360109</xdr:colOff>
      <xdr:row>34</xdr:row>
      <xdr:rowOff>119321</xdr:rowOff>
    </xdr:to>
    <xdr:graphicFrame macro="">
      <xdr:nvGraphicFramePr>
        <xdr:cNvPr id="22" name="Chart 21">
          <a:extLst>
            <a:ext uri="{FF2B5EF4-FFF2-40B4-BE49-F238E27FC236}">
              <a16:creationId xmlns:a16="http://schemas.microsoft.com/office/drawing/2014/main" id="{260EF535-3DFD-4D06-AFD6-96899B74F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11339</xdr:colOff>
      <xdr:row>35</xdr:row>
      <xdr:rowOff>102054</xdr:rowOff>
    </xdr:from>
    <xdr:to>
      <xdr:col>13</xdr:col>
      <xdr:colOff>87967</xdr:colOff>
      <xdr:row>49</xdr:row>
      <xdr:rowOff>85304</xdr:rowOff>
    </xdr:to>
    <xdr:graphicFrame macro="">
      <xdr:nvGraphicFramePr>
        <xdr:cNvPr id="23" name="Chart 22">
          <a:extLst>
            <a:ext uri="{FF2B5EF4-FFF2-40B4-BE49-F238E27FC236}">
              <a16:creationId xmlns:a16="http://schemas.microsoft.com/office/drawing/2014/main" id="{8A0E8089-4B40-43AE-8833-FE25AF5E63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294821</xdr:colOff>
      <xdr:row>35</xdr:row>
      <xdr:rowOff>90714</xdr:rowOff>
    </xdr:from>
    <xdr:to>
      <xdr:col>21</xdr:col>
      <xdr:colOff>371450</xdr:colOff>
      <xdr:row>49</xdr:row>
      <xdr:rowOff>73964</xdr:rowOff>
    </xdr:to>
    <xdr:graphicFrame macro="">
      <xdr:nvGraphicFramePr>
        <xdr:cNvPr id="24" name="Chart 23">
          <a:extLst>
            <a:ext uri="{FF2B5EF4-FFF2-40B4-BE49-F238E27FC236}">
              <a16:creationId xmlns:a16="http://schemas.microsoft.com/office/drawing/2014/main" id="{6D3EAB77-0896-40C7-8686-CCFC61251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0</xdr:row>
      <xdr:rowOff>185737</xdr:rowOff>
    </xdr:from>
    <xdr:to>
      <xdr:col>14</xdr:col>
      <xdr:colOff>28575</xdr:colOff>
      <xdr:row>15</xdr:row>
      <xdr:rowOff>9525</xdr:rowOff>
    </xdr:to>
    <xdr:graphicFrame macro="">
      <xdr:nvGraphicFramePr>
        <xdr:cNvPr id="2" name="Chart 1">
          <a:extLst>
            <a:ext uri="{FF2B5EF4-FFF2-40B4-BE49-F238E27FC236}">
              <a16:creationId xmlns:a16="http://schemas.microsoft.com/office/drawing/2014/main" id="{BF260232-B0CE-9F07-FEC5-2B9AB72153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15</xdr:row>
      <xdr:rowOff>185737</xdr:rowOff>
    </xdr:from>
    <xdr:to>
      <xdr:col>12</xdr:col>
      <xdr:colOff>304800</xdr:colOff>
      <xdr:row>30</xdr:row>
      <xdr:rowOff>71437</xdr:rowOff>
    </xdr:to>
    <xdr:graphicFrame macro="">
      <xdr:nvGraphicFramePr>
        <xdr:cNvPr id="3" name="Chart 2">
          <a:extLst>
            <a:ext uri="{FF2B5EF4-FFF2-40B4-BE49-F238E27FC236}">
              <a16:creationId xmlns:a16="http://schemas.microsoft.com/office/drawing/2014/main" id="{4F25702E-159F-5F58-EB89-7235B8844D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9525</xdr:colOff>
      <xdr:row>31</xdr:row>
      <xdr:rowOff>185737</xdr:rowOff>
    </xdr:from>
    <xdr:to>
      <xdr:col>9</xdr:col>
      <xdr:colOff>266700</xdr:colOff>
      <xdr:row>46</xdr:row>
      <xdr:rowOff>71437</xdr:rowOff>
    </xdr:to>
    <xdr:graphicFrame macro="">
      <xdr:nvGraphicFramePr>
        <xdr:cNvPr id="4" name="Chart 3">
          <a:extLst>
            <a:ext uri="{FF2B5EF4-FFF2-40B4-BE49-F238E27FC236}">
              <a16:creationId xmlns:a16="http://schemas.microsoft.com/office/drawing/2014/main" id="{23516559-4F81-3D3D-7A53-60507FD307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15</xdr:row>
      <xdr:rowOff>176212</xdr:rowOff>
    </xdr:from>
    <xdr:to>
      <xdr:col>18</xdr:col>
      <xdr:colOff>419100</xdr:colOff>
      <xdr:row>30</xdr:row>
      <xdr:rowOff>57150</xdr:rowOff>
    </xdr:to>
    <xdr:graphicFrame macro="">
      <xdr:nvGraphicFramePr>
        <xdr:cNvPr id="5" name="Chart 4">
          <a:extLst>
            <a:ext uri="{FF2B5EF4-FFF2-40B4-BE49-F238E27FC236}">
              <a16:creationId xmlns:a16="http://schemas.microsoft.com/office/drawing/2014/main" id="{B5821289-C833-B422-72B9-5F45017A90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600075</xdr:colOff>
      <xdr:row>32</xdr:row>
      <xdr:rowOff>4762</xdr:rowOff>
    </xdr:from>
    <xdr:to>
      <xdr:col>15</xdr:col>
      <xdr:colOff>552450</xdr:colOff>
      <xdr:row>46</xdr:row>
      <xdr:rowOff>76200</xdr:rowOff>
    </xdr:to>
    <xdr:graphicFrame macro="">
      <xdr:nvGraphicFramePr>
        <xdr:cNvPr id="6" name="Chart 5">
          <a:extLst>
            <a:ext uri="{FF2B5EF4-FFF2-40B4-BE49-F238E27FC236}">
              <a16:creationId xmlns:a16="http://schemas.microsoft.com/office/drawing/2014/main" id="{D13E1D68-E81E-B506-2A9B-318DA693AF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47</xdr:row>
      <xdr:rowOff>4762</xdr:rowOff>
    </xdr:from>
    <xdr:to>
      <xdr:col>9</xdr:col>
      <xdr:colOff>257175</xdr:colOff>
      <xdr:row>61</xdr:row>
      <xdr:rowOff>80962</xdr:rowOff>
    </xdr:to>
    <xdr:graphicFrame macro="">
      <xdr:nvGraphicFramePr>
        <xdr:cNvPr id="7" name="Chart 6">
          <a:extLst>
            <a:ext uri="{FF2B5EF4-FFF2-40B4-BE49-F238E27FC236}">
              <a16:creationId xmlns:a16="http://schemas.microsoft.com/office/drawing/2014/main" id="{6A2937B7-409A-8B58-EB7C-16402B16BB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19050</xdr:colOff>
      <xdr:row>47</xdr:row>
      <xdr:rowOff>180975</xdr:rowOff>
    </xdr:from>
    <xdr:to>
      <xdr:col>13</xdr:col>
      <xdr:colOff>19050</xdr:colOff>
      <xdr:row>56</xdr:row>
      <xdr:rowOff>95250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693294D0-D21C-5640-ED18-65489A43F56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00975" y="9134475"/>
              <a:ext cx="1828800" cy="1628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9525</xdr:colOff>
      <xdr:row>48</xdr:row>
      <xdr:rowOff>1</xdr:rowOff>
    </xdr:from>
    <xdr:to>
      <xdr:col>17</xdr:col>
      <xdr:colOff>9525</xdr:colOff>
      <xdr:row>53</xdr:row>
      <xdr:rowOff>38101</xdr:rowOff>
    </xdr:to>
    <mc:AlternateContent xmlns:mc="http://schemas.openxmlformats.org/markup-compatibility/2006" xmlns:a14="http://schemas.microsoft.com/office/drawing/2010/main">
      <mc:Choice Requires="a14">
        <xdr:graphicFrame macro="">
          <xdr:nvGraphicFramePr>
            <xdr:cNvPr id="9" name="GDP Category">
              <a:extLst>
                <a:ext uri="{FF2B5EF4-FFF2-40B4-BE49-F238E27FC236}">
                  <a16:creationId xmlns:a16="http://schemas.microsoft.com/office/drawing/2014/main" id="{2EAD1B1F-4FBF-4F4E-1339-54BBC6B4DAC6}"/>
                </a:ext>
              </a:extLst>
            </xdr:cNvPr>
            <xdr:cNvGraphicFramePr/>
          </xdr:nvGraphicFramePr>
          <xdr:xfrm>
            <a:off x="0" y="0"/>
            <a:ext cx="0" cy="0"/>
          </xdr:xfrm>
          <a:graphic>
            <a:graphicData uri="http://schemas.microsoft.com/office/drawing/2010/slicer">
              <sle:slicer xmlns:sle="http://schemas.microsoft.com/office/drawing/2010/slicer" name="GDP Category"/>
            </a:graphicData>
          </a:graphic>
        </xdr:graphicFrame>
      </mc:Choice>
      <mc:Fallback xmlns="">
        <xdr:sp macro="" textlink="">
          <xdr:nvSpPr>
            <xdr:cNvPr id="0" name=""/>
            <xdr:cNvSpPr>
              <a:spLocks noTextEdit="1"/>
            </xdr:cNvSpPr>
          </xdr:nvSpPr>
          <xdr:spPr>
            <a:xfrm>
              <a:off x="10229850" y="9144001"/>
              <a:ext cx="182880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9525</xdr:colOff>
      <xdr:row>54</xdr:row>
      <xdr:rowOff>9526</xdr:rowOff>
    </xdr:from>
    <xdr:to>
      <xdr:col>17</xdr:col>
      <xdr:colOff>9525</xdr:colOff>
      <xdr:row>59</xdr:row>
      <xdr:rowOff>28576</xdr:rowOff>
    </xdr:to>
    <mc:AlternateContent xmlns:mc="http://schemas.openxmlformats.org/markup-compatibility/2006" xmlns:a14="http://schemas.microsoft.com/office/drawing/2010/main">
      <mc:Choice Requires="a14">
        <xdr:graphicFrame macro="">
          <xdr:nvGraphicFramePr>
            <xdr:cNvPr id="10" name="Performace category">
              <a:extLst>
                <a:ext uri="{FF2B5EF4-FFF2-40B4-BE49-F238E27FC236}">
                  <a16:creationId xmlns:a16="http://schemas.microsoft.com/office/drawing/2014/main" id="{7294061C-AF8F-115F-18B4-EC1096C9AB9E}"/>
                </a:ext>
              </a:extLst>
            </xdr:cNvPr>
            <xdr:cNvGraphicFramePr/>
          </xdr:nvGraphicFramePr>
          <xdr:xfrm>
            <a:off x="0" y="0"/>
            <a:ext cx="0" cy="0"/>
          </xdr:xfrm>
          <a:graphic>
            <a:graphicData uri="http://schemas.microsoft.com/office/drawing/2010/slicer">
              <sle:slicer xmlns:sle="http://schemas.microsoft.com/office/drawing/2010/slicer" name="Performace category"/>
            </a:graphicData>
          </a:graphic>
        </xdr:graphicFrame>
      </mc:Choice>
      <mc:Fallback xmlns="">
        <xdr:sp macro="" textlink="">
          <xdr:nvSpPr>
            <xdr:cNvPr id="0" name=""/>
            <xdr:cNvSpPr>
              <a:spLocks noTextEdit="1"/>
            </xdr:cNvSpPr>
          </xdr:nvSpPr>
          <xdr:spPr>
            <a:xfrm>
              <a:off x="10229850" y="10296526"/>
              <a:ext cx="1828800" cy="97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590550</xdr:colOff>
      <xdr:row>57</xdr:row>
      <xdr:rowOff>1</xdr:rowOff>
    </xdr:from>
    <xdr:to>
      <xdr:col>12</xdr:col>
      <xdr:colOff>590550</xdr:colOff>
      <xdr:row>65</xdr:row>
      <xdr:rowOff>114301</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54ED8428-41D4-B9AC-2FC7-014536B4BFE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762875" y="10858501"/>
              <a:ext cx="1828800"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MILE INDIA" refreshedDate="46226.550946527779" createdVersion="8" refreshedVersion="8" minRefreshableVersion="3" recordCount="90" xr:uid="{6CC281A7-1E04-4DDB-8331-B643DE9B717A}">
  <cacheSource type="worksheet">
    <worksheetSource name="Table1456"/>
  </cacheSource>
  <cacheFields count="17">
    <cacheField name="Country" numFmtId="0">
      <sharedItems count="90">
        <s v="United States"/>
        <s v="China"/>
        <s v="Japan"/>
        <s v="Australia"/>
        <s v="France"/>
        <s v="Netherlands"/>
        <s v="Great Britain"/>
        <s v="South Korea"/>
        <s v="Italy"/>
        <s v="Germany"/>
        <s v="New Zealand"/>
        <s v="Canada"/>
        <s v="Uzbekistan"/>
        <s v="Hungary"/>
        <s v="Spain"/>
        <s v="Sweden"/>
        <s v="Kenya"/>
        <s v="Norway"/>
        <s v="Ireland"/>
        <s v="Brazil"/>
        <s v="Iran"/>
        <s v="Ukraine"/>
        <s v="Romania"/>
        <s v="Georgia"/>
        <s v="Belgium"/>
        <s v="Bulgaria"/>
        <s v="Serbia"/>
        <s v="Czech Republic"/>
        <s v="Denmark"/>
        <s v="Azerbaijan"/>
        <s v="Croatia"/>
        <s v="Cuba"/>
        <s v="Bahrain"/>
        <s v="Slovenia"/>
        <s v="Taiwan"/>
        <s v="Austria"/>
        <s v="Hong Kong"/>
        <s v="Philippines"/>
        <s v="Algeria"/>
        <s v="Indonesia"/>
        <s v="Israel"/>
        <s v="Poland"/>
        <s v="Kazakhstan"/>
        <s v="Jamaica"/>
        <s v="South Africa"/>
        <s v="Thailand"/>
        <s v="Ethiopia"/>
        <s v="Switzerland"/>
        <s v="Ecuador"/>
        <s v="Portugal"/>
        <s v="Greece"/>
        <s v="Argentina"/>
        <s v="Egypt"/>
        <s v="Tunisia"/>
        <s v="Botswana"/>
        <s v="Chile"/>
        <s v="St Lucia"/>
        <s v="Uganda"/>
        <s v="Dominican Republic"/>
        <s v="Guatemala"/>
        <s v="Morocco"/>
        <s v="Dominica"/>
        <s v="Pakistan"/>
        <s v="Turkey"/>
        <s v="Mexico"/>
        <s v="Armenia"/>
        <s v="Colombia"/>
        <s v="North Korea"/>
        <s v="Kyrgyzstan"/>
        <s v="Lithuania"/>
        <s v="India"/>
        <s v="Moldova"/>
        <s v="Kosovo"/>
        <s v="Cyprus"/>
        <s v="Fiji"/>
        <s v="Jordan"/>
        <s v="Mongolia"/>
        <s v="Panama"/>
        <s v="Tajikistan"/>
        <s v="Albania"/>
        <s v="Grenada"/>
        <s v="Malaysia"/>
        <s v="Puerto Rico"/>
        <s v="Cape Verde"/>
        <s v="Ivory Coast"/>
        <s v="Peru"/>
        <s v="Qatar"/>
        <s v="Singapore"/>
        <s v="Slovakia"/>
        <s v="Zambia"/>
      </sharedItems>
    </cacheField>
    <cacheField name="Country_code" numFmtId="0">
      <sharedItems/>
    </cacheField>
    <cacheField name="Region" numFmtId="0">
      <sharedItems count="7">
        <s v="North America"/>
        <s v="Asia"/>
        <s v="Oceania"/>
        <s v="Europe"/>
        <s v="Africa"/>
        <s v="South America"/>
        <s v="Caribbean"/>
      </sharedItems>
    </cacheField>
    <cacheField name="Gold" numFmtId="0">
      <sharedItems containsSemiMixedTypes="0" containsString="0" containsNumber="1" containsInteger="1" minValue="0" maxValue="40"/>
    </cacheField>
    <cacheField name="Silver" numFmtId="0">
      <sharedItems containsSemiMixedTypes="0" containsString="0" containsNumber="1" containsInteger="1" minValue="0" maxValue="44"/>
    </cacheField>
    <cacheField name="Bronze" numFmtId="0">
      <sharedItems containsSemiMixedTypes="0" containsString="0" containsNumber="1" containsInteger="1" minValue="0" maxValue="42"/>
    </cacheField>
    <cacheField name="Total" numFmtId="0">
      <sharedItems containsString="0" containsBlank="1" containsNumber="1" containsInteger="1" minValue="1" maxValue="126"/>
    </cacheField>
    <cacheField name="Performance" numFmtId="0">
      <sharedItems/>
    </cacheField>
    <cacheField name="GDP" numFmtId="0">
      <sharedItems containsSemiMixedTypes="0" containsString="0" containsNumber="1" minValue="1014.21" maxValue="103684.88"/>
    </cacheField>
    <cacheField name="GDP_year" numFmtId="0">
      <sharedItems containsSemiMixedTypes="0" containsString="0" containsNumber="1" containsInteger="1" minValue="2022" maxValue="2023"/>
    </cacheField>
    <cacheField name="Population" numFmtId="0">
      <sharedItems containsSemiMixedTypes="0" containsString="0" containsNumber="1" minValue="0.1" maxValue="1428.6"/>
    </cacheField>
    <cacheField name="Gold %" numFmtId="9">
      <sharedItems containsMixedTypes="1" containsNumber="1" minValue="0" maxValue="1"/>
    </cacheField>
    <cacheField name="Silver%" numFmtId="9">
      <sharedItems containsMixedTypes="1" containsNumber="1" minValue="0" maxValue="1"/>
    </cacheField>
    <cacheField name="Bronze%" numFmtId="9">
      <sharedItems containsMixedTypes="1" containsNumber="1" minValue="0" maxValue="1"/>
    </cacheField>
    <cacheField name="GDP per medal" numFmtId="1">
      <sharedItems containsMixedTypes="1" containsNumber="1" minValue="138.61604395604394" maxValue="87480.42"/>
    </cacheField>
    <cacheField name="GDP Category" numFmtId="0">
      <sharedItems count="2">
        <s v="High GDP"/>
        <s v="Low GDP"/>
      </sharedItems>
    </cacheField>
    <cacheField name="Performace category" numFmtId="0">
      <sharedItems count="2">
        <s v="Top performer"/>
        <s v="Low performer"/>
      </sharedItems>
    </cacheField>
  </cacheFields>
  <extLst>
    <ext xmlns:x14="http://schemas.microsoft.com/office/spreadsheetml/2009/9/main" uri="{725AE2AE-9491-48be-B2B4-4EB974FC3084}">
      <x14:pivotCacheDefinition pivotCacheId="3882459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x v="0"/>
    <s v="USA"/>
    <x v="0"/>
    <n v="40"/>
    <n v="44"/>
    <n v="42"/>
    <n v="126"/>
    <s v="Excellent"/>
    <n v="81695.19"/>
    <n v="2023"/>
    <n v="334.9"/>
    <n v="0.31746031746031744"/>
    <n v="0.34920634920634919"/>
    <n v="0.33333333333333331"/>
    <n v="648.37452380952379"/>
    <x v="0"/>
    <x v="0"/>
  </r>
  <r>
    <x v="1"/>
    <s v="CHN"/>
    <x v="1"/>
    <n v="40"/>
    <n v="27"/>
    <n v="24"/>
    <n v="91"/>
    <s v="Needs improvement"/>
    <n v="12614.06"/>
    <n v="2023"/>
    <n v="1410.7"/>
    <n v="0.43956043956043955"/>
    <n v="0.2967032967032967"/>
    <n v="0.26373626373626374"/>
    <n v="138.61604395604394"/>
    <x v="1"/>
    <x v="0"/>
  </r>
  <r>
    <x v="2"/>
    <s v="JPN"/>
    <x v="1"/>
    <n v="20"/>
    <n v="12"/>
    <n v="13"/>
    <n v="45"/>
    <s v="Needs improvement"/>
    <n v="33834.39"/>
    <n v="2023"/>
    <n v="124.5"/>
    <n v="0.44444444444444442"/>
    <n v="0.26666666666666666"/>
    <n v="0.28888888888888886"/>
    <n v="751.87533333333329"/>
    <x v="1"/>
    <x v="0"/>
  </r>
  <r>
    <x v="3"/>
    <s v="AUS"/>
    <x v="2"/>
    <n v="18"/>
    <n v="19"/>
    <n v="16"/>
    <n v="53"/>
    <s v="Needs improvement"/>
    <n v="64711.77"/>
    <n v="2023"/>
    <n v="26.6"/>
    <n v="0.33962264150943394"/>
    <n v="0.35849056603773582"/>
    <n v="0.30188679245283018"/>
    <n v="1220.9767924528301"/>
    <x v="0"/>
    <x v="1"/>
  </r>
  <r>
    <x v="4"/>
    <s v="FRA"/>
    <x v="3"/>
    <n v="16"/>
    <n v="26"/>
    <n v="22"/>
    <n v="64"/>
    <s v="Needs improvement"/>
    <n v="44460.82"/>
    <n v="2023"/>
    <n v="68.2"/>
    <n v="0.25"/>
    <n v="0.40625"/>
    <n v="0.34375"/>
    <n v="694.7003125"/>
    <x v="1"/>
    <x v="1"/>
  </r>
  <r>
    <x v="5"/>
    <s v="NLD"/>
    <x v="3"/>
    <n v="15"/>
    <n v="7"/>
    <n v="12"/>
    <n v="34"/>
    <s v="Needs improvement"/>
    <n v="62536.73"/>
    <n v="2023"/>
    <n v="17.899999999999999"/>
    <n v="0.44117647058823528"/>
    <n v="0.20588235294117646"/>
    <n v="0.35294117647058826"/>
    <n v="1839.3155882352942"/>
    <x v="0"/>
    <x v="1"/>
  </r>
  <r>
    <x v="6"/>
    <s v="GBR"/>
    <x v="3"/>
    <n v="14"/>
    <n v="22"/>
    <n v="29"/>
    <n v="65"/>
    <s v="Needs improvement"/>
    <n v="48866.6"/>
    <n v="2023"/>
    <n v="68.3"/>
    <n v="0.2153846153846154"/>
    <n v="0.33846153846153848"/>
    <n v="0.44615384615384618"/>
    <n v="751.79384615384618"/>
    <x v="1"/>
    <x v="1"/>
  </r>
  <r>
    <x v="7"/>
    <s v="KOR"/>
    <x v="1"/>
    <n v="13"/>
    <n v="9"/>
    <n v="10"/>
    <n v="32"/>
    <s v="Needs improvement"/>
    <n v="33121.370000000003"/>
    <n v="2023"/>
    <n v="51.7"/>
    <n v="0.40625"/>
    <n v="0.28125"/>
    <n v="0.3125"/>
    <n v="1035.0428125000001"/>
    <x v="1"/>
    <x v="1"/>
  </r>
  <r>
    <x v="8"/>
    <s v="ITA"/>
    <x v="3"/>
    <n v="12"/>
    <n v="13"/>
    <n v="15"/>
    <n v="40"/>
    <s v="Needs improvement"/>
    <n v="38373.17"/>
    <n v="2023"/>
    <n v="58.8"/>
    <n v="0.3"/>
    <n v="0.32500000000000001"/>
    <n v="0.375"/>
    <n v="959.32925"/>
    <x v="1"/>
    <x v="1"/>
  </r>
  <r>
    <x v="9"/>
    <s v="DEU"/>
    <x v="3"/>
    <n v="12"/>
    <n v="13"/>
    <n v="8"/>
    <n v="33"/>
    <s v="Needs improvement"/>
    <n v="52745.760000000002"/>
    <n v="2023"/>
    <n v="84.5"/>
    <n v="0.36363636363636365"/>
    <n v="0.39393939393939392"/>
    <n v="0.24242424242424243"/>
    <n v="1598.3563636363638"/>
    <x v="0"/>
    <x v="1"/>
  </r>
  <r>
    <x v="10"/>
    <s v="NZL"/>
    <x v="2"/>
    <n v="10"/>
    <n v="7"/>
    <n v="3"/>
    <n v="20"/>
    <s v="Needs improvement"/>
    <n v="48527.83"/>
    <n v="2023"/>
    <n v="5.2"/>
    <n v="0.5"/>
    <n v="0.35"/>
    <n v="0.15"/>
    <n v="2426.3915000000002"/>
    <x v="1"/>
    <x v="1"/>
  </r>
  <r>
    <x v="11"/>
    <s v="CAN"/>
    <x v="0"/>
    <n v="9"/>
    <n v="7"/>
    <n v="11"/>
    <n v="27"/>
    <s v="Needs improvement"/>
    <n v="53371.7"/>
    <n v="2023"/>
    <n v="40.1"/>
    <n v="0.33333333333333331"/>
    <n v="0.25925925925925924"/>
    <n v="0.40740740740740738"/>
    <n v="1976.7296296296295"/>
    <x v="0"/>
    <x v="1"/>
  </r>
  <r>
    <x v="12"/>
    <s v="UZB"/>
    <x v="1"/>
    <n v="8"/>
    <n v="2"/>
    <n v="3"/>
    <n v="13"/>
    <s v="Needs improvement"/>
    <n v="2496.11"/>
    <n v="2023"/>
    <n v="36.4"/>
    <n v="0.61538461538461542"/>
    <n v="0.15384615384615385"/>
    <n v="0.23076923076923078"/>
    <n v="192.00846153846155"/>
    <x v="1"/>
    <x v="1"/>
  </r>
  <r>
    <x v="13"/>
    <s v="HUN"/>
    <x v="3"/>
    <n v="6"/>
    <n v="7"/>
    <n v="6"/>
    <n v="19"/>
    <s v="Needs improvement"/>
    <n v="22147.21"/>
    <n v="2023"/>
    <n v="9.6"/>
    <n v="0.31578947368421051"/>
    <n v="0.36842105263157893"/>
    <n v="0.31578947368421051"/>
    <n v="1165.6426315789474"/>
    <x v="1"/>
    <x v="1"/>
  </r>
  <r>
    <x v="14"/>
    <s v="ESP"/>
    <x v="3"/>
    <n v="5"/>
    <n v="4"/>
    <n v="9"/>
    <n v="18"/>
    <s v="Needs improvement"/>
    <n v="32676.98"/>
    <n v="2023"/>
    <n v="48.4"/>
    <n v="0.27777777777777779"/>
    <n v="0.22222222222222221"/>
    <n v="0.5"/>
    <n v="1815.3877777777777"/>
    <x v="1"/>
    <x v="1"/>
  </r>
  <r>
    <x v="15"/>
    <s v="SWE"/>
    <x v="3"/>
    <n v="4"/>
    <n v="4"/>
    <n v="3"/>
    <n v="11"/>
    <s v="Needs improvement"/>
    <n v="56305.25"/>
    <n v="2023"/>
    <n v="10.5"/>
    <n v="0.36363636363636365"/>
    <n v="0.36363636363636365"/>
    <n v="0.27272727272727271"/>
    <n v="5118.659090909091"/>
    <x v="0"/>
    <x v="1"/>
  </r>
  <r>
    <x v="16"/>
    <s v="KEN"/>
    <x v="4"/>
    <n v="4"/>
    <n v="2"/>
    <n v="5"/>
    <n v="11"/>
    <s v="Needs improvement"/>
    <n v="1949.9"/>
    <n v="2023"/>
    <n v="55.1"/>
    <n v="0.36363636363636365"/>
    <n v="0.18181818181818182"/>
    <n v="0.45454545454545453"/>
    <n v="177.26363636363638"/>
    <x v="1"/>
    <x v="1"/>
  </r>
  <r>
    <x v="17"/>
    <s v="NOR"/>
    <x v="3"/>
    <n v="4"/>
    <n v="1"/>
    <n v="3"/>
    <n v="8"/>
    <s v="Needs improvement"/>
    <n v="87961.78"/>
    <n v="2023"/>
    <n v="5.5"/>
    <n v="0.5"/>
    <n v="0.125"/>
    <n v="0.375"/>
    <n v="10995.2225"/>
    <x v="0"/>
    <x v="1"/>
  </r>
  <r>
    <x v="18"/>
    <s v="IRL"/>
    <x v="3"/>
    <n v="4"/>
    <n v="0"/>
    <n v="3"/>
    <m/>
    <s v="Needs improvement"/>
    <n v="103684.88"/>
    <n v="2023"/>
    <n v="5.3"/>
    <e v="#DIV/0!"/>
    <e v="#DIV/0!"/>
    <e v="#DIV/0!"/>
    <e v="#DIV/0!"/>
    <x v="0"/>
    <x v="1"/>
  </r>
  <r>
    <x v="19"/>
    <s v="BRA"/>
    <x v="5"/>
    <n v="3"/>
    <n v="7"/>
    <n v="10"/>
    <n v="20"/>
    <s v="Needs improvement"/>
    <n v="10043.620000000001"/>
    <n v="2023"/>
    <n v="216.4"/>
    <n v="0.15"/>
    <n v="0.35"/>
    <n v="0.5"/>
    <n v="502.18100000000004"/>
    <x v="1"/>
    <x v="1"/>
  </r>
  <r>
    <x v="20"/>
    <s v="IRN"/>
    <x v="1"/>
    <n v="3"/>
    <n v="6"/>
    <n v="3"/>
    <n v="12"/>
    <s v="Needs improvement"/>
    <n v="4502.55"/>
    <n v="2023"/>
    <n v="89.2"/>
    <n v="0.25"/>
    <n v="0.5"/>
    <n v="0.25"/>
    <n v="375.21250000000003"/>
    <x v="1"/>
    <x v="1"/>
  </r>
  <r>
    <x v="21"/>
    <s v="UKR"/>
    <x v="3"/>
    <n v="3"/>
    <n v="5"/>
    <n v="4"/>
    <n v="12"/>
    <s v="Needs improvement"/>
    <n v="5181.3599999999997"/>
    <n v="2023"/>
    <n v="37"/>
    <n v="0.25"/>
    <n v="0.41666666666666669"/>
    <n v="0.33333333333333331"/>
    <n v="431.78"/>
    <x v="1"/>
    <x v="1"/>
  </r>
  <r>
    <x v="22"/>
    <s v="ROU"/>
    <x v="3"/>
    <n v="3"/>
    <n v="4"/>
    <n v="2"/>
    <n v="9"/>
    <s v="Needs improvement"/>
    <n v="18419.419999999998"/>
    <n v="2023"/>
    <n v="19.100000000000001"/>
    <n v="0.33333333333333331"/>
    <n v="0.44444444444444442"/>
    <n v="0.22222222222222221"/>
    <n v="2046.6022222222221"/>
    <x v="1"/>
    <x v="1"/>
  </r>
  <r>
    <x v="23"/>
    <s v="GEO"/>
    <x v="3"/>
    <n v="3"/>
    <n v="3"/>
    <n v="1"/>
    <n v="7"/>
    <s v="Needs improvement"/>
    <n v="8120.36"/>
    <n v="2023"/>
    <n v="3.8"/>
    <n v="0.42857142857142855"/>
    <n v="0.42857142857142855"/>
    <n v="0.14285714285714285"/>
    <n v="1160.0514285714285"/>
    <x v="1"/>
    <x v="1"/>
  </r>
  <r>
    <x v="24"/>
    <s v="BEL"/>
    <x v="3"/>
    <n v="3"/>
    <n v="1"/>
    <n v="6"/>
    <n v="10"/>
    <s v="Needs improvement"/>
    <n v="53475.29"/>
    <n v="2023"/>
    <n v="11.8"/>
    <n v="0.3"/>
    <n v="0.1"/>
    <n v="0.6"/>
    <n v="5347.5290000000005"/>
    <x v="0"/>
    <x v="1"/>
  </r>
  <r>
    <x v="25"/>
    <s v="BGR"/>
    <x v="3"/>
    <n v="3"/>
    <n v="1"/>
    <n v="3"/>
    <n v="7"/>
    <s v="Needs improvement"/>
    <n v="15797.6"/>
    <n v="2023"/>
    <n v="6.4"/>
    <n v="0.42857142857142855"/>
    <n v="0.14285714285714285"/>
    <n v="0.42857142857142855"/>
    <n v="2256.8000000000002"/>
    <x v="1"/>
    <x v="1"/>
  </r>
  <r>
    <x v="26"/>
    <s v="SRB"/>
    <x v="3"/>
    <n v="3"/>
    <n v="1"/>
    <n v="1"/>
    <n v="5"/>
    <s v="Needs improvement"/>
    <n v="11360.96"/>
    <n v="2023"/>
    <n v="6.6"/>
    <n v="0.6"/>
    <n v="0.2"/>
    <n v="0.2"/>
    <n v="2272.192"/>
    <x v="1"/>
    <x v="1"/>
  </r>
  <r>
    <x v="27"/>
    <s v="CZE"/>
    <x v="3"/>
    <n v="3"/>
    <n v="0"/>
    <n v="2"/>
    <n v="5"/>
    <s v="Needs improvement"/>
    <n v="30427.42"/>
    <n v="2023"/>
    <n v="10.9"/>
    <n v="0.6"/>
    <n v="0"/>
    <n v="0.4"/>
    <n v="6085.4839999999995"/>
    <x v="1"/>
    <x v="1"/>
  </r>
  <r>
    <x v="28"/>
    <s v="DNK"/>
    <x v="3"/>
    <n v="2"/>
    <n v="2"/>
    <n v="5"/>
    <n v="9"/>
    <s v="Needs improvement"/>
    <n v="67967.38"/>
    <n v="2023"/>
    <n v="5.9"/>
    <n v="0.22222222222222221"/>
    <n v="0.22222222222222221"/>
    <n v="0.55555555555555558"/>
    <n v="7551.9311111111119"/>
    <x v="0"/>
    <x v="1"/>
  </r>
  <r>
    <x v="29"/>
    <s v="AZE"/>
    <x v="1"/>
    <n v="2"/>
    <n v="2"/>
    <n v="3"/>
    <n v="7"/>
    <s v="Needs improvement"/>
    <n v="7155.08"/>
    <n v="2023"/>
    <n v="10.1"/>
    <n v="0.2857142857142857"/>
    <n v="0.2857142857142857"/>
    <n v="0.42857142857142855"/>
    <n v="1022.1542857142857"/>
    <x v="1"/>
    <x v="1"/>
  </r>
  <r>
    <x v="30"/>
    <s v="HRV"/>
    <x v="3"/>
    <n v="2"/>
    <n v="2"/>
    <n v="3"/>
    <n v="7"/>
    <s v="Needs improvement"/>
    <n v="21459.78"/>
    <n v="2023"/>
    <n v="3.9"/>
    <n v="0.2857142857142857"/>
    <n v="0.2857142857142857"/>
    <n v="0.42857142857142855"/>
    <n v="3065.6828571428568"/>
    <x v="1"/>
    <x v="1"/>
  </r>
  <r>
    <x v="31"/>
    <s v="CUB"/>
    <x v="0"/>
    <n v="2"/>
    <n v="1"/>
    <n v="6"/>
    <n v="9"/>
    <s v="Needs improvement"/>
    <n v="56495.85"/>
    <n v="2022"/>
    <n v="11.2"/>
    <n v="0.22222222222222221"/>
    <n v="0.1111111111111111"/>
    <n v="0.66666666666666663"/>
    <n v="6277.3166666666666"/>
    <x v="0"/>
    <x v="1"/>
  </r>
  <r>
    <x v="32"/>
    <s v="BHR"/>
    <x v="1"/>
    <n v="2"/>
    <n v="1"/>
    <n v="1"/>
    <n v="4"/>
    <s v="Needs improvement"/>
    <n v="29084.31"/>
    <n v="2023"/>
    <n v="1.5"/>
    <n v="0.5"/>
    <n v="0.25"/>
    <n v="0.25"/>
    <n v="7271.0775000000003"/>
    <x v="1"/>
    <x v="1"/>
  </r>
  <r>
    <x v="33"/>
    <s v="SVN"/>
    <x v="3"/>
    <n v="2"/>
    <n v="1"/>
    <n v="0"/>
    <n v="3"/>
    <s v="Needs improvement"/>
    <n v="32163.51"/>
    <n v="2023"/>
    <n v="2.1"/>
    <n v="0.66666666666666663"/>
    <n v="0.33333333333333331"/>
    <n v="0"/>
    <n v="10721.17"/>
    <x v="1"/>
    <x v="1"/>
  </r>
  <r>
    <x v="34"/>
    <s v="TPE"/>
    <x v="1"/>
    <n v="2"/>
    <n v="0"/>
    <n v="5"/>
    <n v="7"/>
    <s v="Needs improvement"/>
    <n v="32443.71"/>
    <n v="2023"/>
    <n v="23.2"/>
    <n v="0.2857142857142857"/>
    <n v="0"/>
    <n v="0.7142857142857143"/>
    <n v="4634.8157142857144"/>
    <x v="1"/>
    <x v="1"/>
  </r>
  <r>
    <x v="35"/>
    <s v="AUT"/>
    <x v="3"/>
    <n v="2"/>
    <n v="0"/>
    <n v="3"/>
    <n v="5"/>
    <s v="Needs improvement"/>
    <n v="56505.97"/>
    <n v="2023"/>
    <n v="9.1"/>
    <n v="0.4"/>
    <n v="0"/>
    <n v="0.6"/>
    <n v="11301.194"/>
    <x v="0"/>
    <x v="1"/>
  </r>
  <r>
    <x v="36"/>
    <s v="HKG"/>
    <x v="1"/>
    <n v="2"/>
    <n v="0"/>
    <n v="2"/>
    <n v="4"/>
    <s v="Needs improvement"/>
    <n v="50696.59"/>
    <n v="2023"/>
    <n v="7.5"/>
    <n v="0.5"/>
    <n v="0"/>
    <n v="0.5"/>
    <n v="12674.147499999999"/>
    <x v="0"/>
    <x v="1"/>
  </r>
  <r>
    <x v="37"/>
    <s v="PHL"/>
    <x v="1"/>
    <n v="2"/>
    <n v="0"/>
    <n v="2"/>
    <n v="4"/>
    <s v="Needs improvement"/>
    <n v="3725.55"/>
    <n v="2023"/>
    <n v="117.3"/>
    <n v="0.5"/>
    <n v="0"/>
    <n v="0.5"/>
    <n v="931.38750000000005"/>
    <x v="1"/>
    <x v="1"/>
  </r>
  <r>
    <x v="38"/>
    <s v="DZA"/>
    <x v="4"/>
    <n v="2"/>
    <n v="0"/>
    <n v="1"/>
    <n v="3"/>
    <s v="Needs improvement"/>
    <n v="5260.21"/>
    <n v="2023"/>
    <n v="45.6"/>
    <n v="0.66666666666666663"/>
    <n v="0"/>
    <n v="0.33333333333333331"/>
    <n v="1753.4033333333334"/>
    <x v="1"/>
    <x v="1"/>
  </r>
  <r>
    <x v="39"/>
    <s v="IDN"/>
    <x v="1"/>
    <n v="2"/>
    <n v="0"/>
    <n v="1"/>
    <n v="3"/>
    <s v="Needs improvement"/>
    <n v="4940.55"/>
    <n v="2023"/>
    <n v="277.5"/>
    <n v="0.66666666666666663"/>
    <n v="0"/>
    <n v="0.33333333333333331"/>
    <n v="1646.8500000000001"/>
    <x v="1"/>
    <x v="1"/>
  </r>
  <r>
    <x v="40"/>
    <s v="ISR"/>
    <x v="1"/>
    <n v="1"/>
    <n v="5"/>
    <n v="1"/>
    <n v="7"/>
    <s v="Needs improvement"/>
    <n v="52261.68"/>
    <n v="2023"/>
    <n v="9.8000000000000007"/>
    <n v="0.14285714285714285"/>
    <n v="0.7142857142857143"/>
    <n v="0.14285714285714285"/>
    <n v="7465.954285714286"/>
    <x v="0"/>
    <x v="1"/>
  </r>
  <r>
    <x v="41"/>
    <s v="POL"/>
    <x v="3"/>
    <n v="1"/>
    <n v="4"/>
    <n v="5"/>
    <n v="10"/>
    <s v="Needs improvement"/>
    <n v="22112.86"/>
    <n v="2023"/>
    <n v="36.700000000000003"/>
    <n v="0.1"/>
    <n v="0.4"/>
    <n v="0.5"/>
    <n v="2211.2860000000001"/>
    <x v="1"/>
    <x v="1"/>
  </r>
  <r>
    <x v="42"/>
    <s v="KAZ"/>
    <x v="1"/>
    <n v="1"/>
    <n v="3"/>
    <n v="3"/>
    <n v="7"/>
    <s v="Needs improvement"/>
    <n v="13136.62"/>
    <n v="2023"/>
    <n v="19.899999999999999"/>
    <n v="0.14285714285714285"/>
    <n v="0.42857142857142855"/>
    <n v="0.42857142857142855"/>
    <n v="1876.66"/>
    <x v="1"/>
    <x v="1"/>
  </r>
  <r>
    <x v="43"/>
    <s v="JAM"/>
    <x v="0"/>
    <n v="1"/>
    <n v="3"/>
    <n v="2"/>
    <n v="6"/>
    <s v="Needs improvement"/>
    <n v="6874.2"/>
    <n v="2023"/>
    <n v="2.8"/>
    <n v="0.16666666666666666"/>
    <n v="0.5"/>
    <n v="0.33333333333333331"/>
    <n v="1145.7"/>
    <x v="1"/>
    <x v="1"/>
  </r>
  <r>
    <x v="44"/>
    <s v="ZAF"/>
    <x v="4"/>
    <n v="1"/>
    <n v="3"/>
    <n v="2"/>
    <n v="6"/>
    <s v="Needs improvement"/>
    <n v="6253.16"/>
    <n v="2023"/>
    <n v="60.4"/>
    <n v="0.16666666666666666"/>
    <n v="0.5"/>
    <n v="0.33333333333333331"/>
    <n v="1042.1933333333334"/>
    <x v="1"/>
    <x v="1"/>
  </r>
  <r>
    <x v="45"/>
    <s v="THA"/>
    <x v="1"/>
    <n v="1"/>
    <n v="3"/>
    <n v="2"/>
    <n v="6"/>
    <s v="Needs improvement"/>
    <n v="7171.81"/>
    <n v="2023"/>
    <n v="71.8"/>
    <n v="0.16666666666666666"/>
    <n v="0.5"/>
    <n v="0.33333333333333331"/>
    <n v="1195.3016666666667"/>
    <x v="1"/>
    <x v="1"/>
  </r>
  <r>
    <x v="46"/>
    <s v="ETH"/>
    <x v="4"/>
    <n v="1"/>
    <n v="3"/>
    <n v="0"/>
    <n v="4"/>
    <s v="Needs improvement"/>
    <n v="1293.78"/>
    <n v="2023"/>
    <n v="126.5"/>
    <n v="0.25"/>
    <n v="0.75"/>
    <n v="0"/>
    <n v="323.44499999999999"/>
    <x v="1"/>
    <x v="1"/>
  </r>
  <r>
    <x v="47"/>
    <s v="CHE"/>
    <x v="3"/>
    <n v="1"/>
    <n v="2"/>
    <n v="5"/>
    <n v="8"/>
    <s v="Needs improvement"/>
    <n v="99994.94"/>
    <n v="2023"/>
    <n v="8.8000000000000007"/>
    <n v="0.125"/>
    <n v="0.25"/>
    <n v="0.625"/>
    <n v="12499.3675"/>
    <x v="0"/>
    <x v="1"/>
  </r>
  <r>
    <x v="48"/>
    <s v="ECU"/>
    <x v="5"/>
    <n v="1"/>
    <n v="2"/>
    <n v="2"/>
    <n v="5"/>
    <s v="Needs improvement"/>
    <n v="6533.35"/>
    <n v="2023"/>
    <n v="18.2"/>
    <n v="0.2"/>
    <n v="0.4"/>
    <n v="0.4"/>
    <n v="1306.67"/>
    <x v="1"/>
    <x v="1"/>
  </r>
  <r>
    <x v="49"/>
    <s v="PRT"/>
    <x v="3"/>
    <n v="1"/>
    <n v="2"/>
    <n v="1"/>
    <n v="4"/>
    <s v="Needs improvement"/>
    <n v="27275.11"/>
    <n v="2023"/>
    <n v="10.5"/>
    <n v="0.25"/>
    <n v="0.5"/>
    <n v="0.25"/>
    <n v="6818.7775000000001"/>
    <x v="1"/>
    <x v="1"/>
  </r>
  <r>
    <x v="50"/>
    <s v="GRC"/>
    <x v="3"/>
    <n v="1"/>
    <n v="1"/>
    <n v="6"/>
    <n v="8"/>
    <s v="Needs improvement"/>
    <n v="22990.01"/>
    <n v="2023"/>
    <n v="10.4"/>
    <n v="0.125"/>
    <n v="0.125"/>
    <n v="0.75"/>
    <n v="2873.7512499999998"/>
    <x v="1"/>
    <x v="1"/>
  </r>
  <r>
    <x v="51"/>
    <s v="ARG"/>
    <x v="5"/>
    <n v="1"/>
    <n v="1"/>
    <n v="1"/>
    <n v="3"/>
    <s v="Needs improvement"/>
    <n v="13730.51"/>
    <n v="2023"/>
    <n v="46.7"/>
    <n v="0.33333333333333331"/>
    <n v="0.33333333333333331"/>
    <n v="0.33333333333333331"/>
    <n v="4576.836666666667"/>
    <x v="1"/>
    <x v="1"/>
  </r>
  <r>
    <x v="52"/>
    <s v="EGY"/>
    <x v="4"/>
    <n v="1"/>
    <n v="1"/>
    <n v="1"/>
    <n v="3"/>
    <s v="Needs improvement"/>
    <n v="3512.58"/>
    <n v="2023"/>
    <n v="112.7"/>
    <n v="0.33333333333333331"/>
    <n v="0.33333333333333331"/>
    <n v="0.33333333333333331"/>
    <n v="1170.8599999999999"/>
    <x v="1"/>
    <x v="1"/>
  </r>
  <r>
    <x v="53"/>
    <s v="TUN"/>
    <x v="4"/>
    <n v="1"/>
    <n v="1"/>
    <n v="1"/>
    <n v="3"/>
    <s v="Needs improvement"/>
    <n v="3895.39"/>
    <n v="2023"/>
    <n v="12.5"/>
    <n v="0.33333333333333331"/>
    <n v="0.33333333333333331"/>
    <n v="0.33333333333333331"/>
    <n v="1298.4633333333334"/>
    <x v="1"/>
    <x v="1"/>
  </r>
  <r>
    <x v="54"/>
    <s v="BWA"/>
    <x v="4"/>
    <n v="1"/>
    <n v="1"/>
    <n v="0"/>
    <n v="2"/>
    <s v="Needs improvement"/>
    <n v="7249.8"/>
    <n v="2023"/>
    <n v="2.7"/>
    <n v="0.5"/>
    <n v="0.5"/>
    <n v="0"/>
    <n v="3624.9"/>
    <x v="1"/>
    <x v="1"/>
  </r>
  <r>
    <x v="55"/>
    <s v="CHL"/>
    <x v="5"/>
    <n v="1"/>
    <n v="1"/>
    <n v="0"/>
    <n v="2"/>
    <s v="Needs improvement"/>
    <n v="17093.240000000002"/>
    <n v="2023"/>
    <n v="19.600000000000001"/>
    <n v="0.5"/>
    <n v="0.5"/>
    <n v="0"/>
    <n v="8546.6200000000008"/>
    <x v="1"/>
    <x v="1"/>
  </r>
  <r>
    <x v="56"/>
    <s v="LCA"/>
    <x v="6"/>
    <n v="1"/>
    <n v="1"/>
    <n v="0"/>
    <n v="2"/>
    <s v="Needs improvement"/>
    <n v="13980.09"/>
    <n v="2023"/>
    <n v="0.2"/>
    <n v="0.5"/>
    <n v="0.5"/>
    <n v="0"/>
    <n v="6990.0450000000001"/>
    <x v="1"/>
    <x v="1"/>
  </r>
  <r>
    <x v="57"/>
    <s v="UGA"/>
    <x v="4"/>
    <n v="1"/>
    <n v="1"/>
    <n v="0"/>
    <n v="2"/>
    <s v="Needs improvement"/>
    <n v="1014.21"/>
    <n v="2023"/>
    <n v="48.6"/>
    <n v="0.5"/>
    <n v="0.5"/>
    <n v="0"/>
    <n v="507.10500000000002"/>
    <x v="1"/>
    <x v="1"/>
  </r>
  <r>
    <x v="58"/>
    <s v="DOM"/>
    <x v="0"/>
    <n v="1"/>
    <n v="0"/>
    <n v="2"/>
    <n v="3"/>
    <s v="Needs improvement"/>
    <n v="10716.01"/>
    <n v="2023"/>
    <n v="11.3"/>
    <n v="0.33333333333333331"/>
    <n v="0"/>
    <n v="0.66666666666666663"/>
    <n v="3572.0033333333336"/>
    <x v="1"/>
    <x v="1"/>
  </r>
  <r>
    <x v="59"/>
    <s v="GTM"/>
    <x v="0"/>
    <n v="1"/>
    <n v="0"/>
    <n v="1"/>
    <n v="2"/>
    <s v="Needs improvement"/>
    <n v="5797.52"/>
    <n v="2023"/>
    <n v="17.600000000000001"/>
    <n v="0.5"/>
    <n v="0"/>
    <n v="0.5"/>
    <n v="2898.76"/>
    <x v="1"/>
    <x v="1"/>
  </r>
  <r>
    <x v="60"/>
    <s v="MAR"/>
    <x v="4"/>
    <n v="1"/>
    <n v="0"/>
    <n v="1"/>
    <n v="2"/>
    <s v="Needs improvement"/>
    <n v="3672.11"/>
    <n v="2023"/>
    <n v="37.799999999999997"/>
    <n v="0.5"/>
    <n v="0"/>
    <n v="0.5"/>
    <n v="1836.0550000000001"/>
    <x v="1"/>
    <x v="1"/>
  </r>
  <r>
    <x v="61"/>
    <s v="DMA"/>
    <x v="6"/>
    <n v="1"/>
    <n v="0"/>
    <n v="0"/>
    <n v="1"/>
    <s v="Needs improvement"/>
    <n v="8953.9"/>
    <n v="2023"/>
    <n v="0.1"/>
    <n v="1"/>
    <n v="0"/>
    <n v="0"/>
    <n v="8953.9"/>
    <x v="1"/>
    <x v="1"/>
  </r>
  <r>
    <x v="62"/>
    <s v="PAK"/>
    <x v="1"/>
    <n v="1"/>
    <n v="0"/>
    <n v="0"/>
    <n v="1"/>
    <s v="Needs improvement"/>
    <n v="1407.02"/>
    <n v="2023"/>
    <n v="240.5"/>
    <n v="1"/>
    <n v="0"/>
    <n v="0"/>
    <n v="1407.02"/>
    <x v="1"/>
    <x v="1"/>
  </r>
  <r>
    <x v="63"/>
    <s v="TUR"/>
    <x v="1"/>
    <n v="0"/>
    <n v="3"/>
    <n v="5"/>
    <n v="8"/>
    <s v="Needs improvement"/>
    <n v="12985.75"/>
    <n v="2023"/>
    <n v="85.3"/>
    <n v="0"/>
    <n v="0.375"/>
    <n v="0.625"/>
    <n v="1623.21875"/>
    <x v="1"/>
    <x v="1"/>
  </r>
  <r>
    <x v="64"/>
    <s v="MEX"/>
    <x v="0"/>
    <n v="0"/>
    <n v="3"/>
    <n v="2"/>
    <n v="5"/>
    <s v="Needs improvement"/>
    <n v="13926.11"/>
    <n v="2023"/>
    <n v="128.5"/>
    <n v="0"/>
    <n v="0.6"/>
    <n v="0.4"/>
    <n v="2785.2220000000002"/>
    <x v="1"/>
    <x v="1"/>
  </r>
  <r>
    <x v="65"/>
    <s v="ARM"/>
    <x v="1"/>
    <n v="0"/>
    <n v="3"/>
    <n v="1"/>
    <n v="4"/>
    <s v="Needs improvement"/>
    <n v="8715.77"/>
    <n v="2023"/>
    <n v="2.8"/>
    <n v="0"/>
    <n v="0.75"/>
    <n v="0.25"/>
    <n v="2178.9425000000001"/>
    <x v="1"/>
    <x v="1"/>
  </r>
  <r>
    <x v="66"/>
    <s v="COL"/>
    <x v="5"/>
    <n v="0"/>
    <n v="3"/>
    <n v="1"/>
    <n v="4"/>
    <s v="Needs improvement"/>
    <n v="6979.73"/>
    <n v="2023"/>
    <n v="52.1"/>
    <n v="0"/>
    <n v="0.75"/>
    <n v="0.25"/>
    <n v="1744.9324999999999"/>
    <x v="1"/>
    <x v="1"/>
  </r>
  <r>
    <x v="67"/>
    <s v="PRK"/>
    <x v="1"/>
    <n v="0"/>
    <n v="2"/>
    <n v="4"/>
    <n v="6"/>
    <s v="Needs improvement"/>
    <n v="1217"/>
    <n v="2023"/>
    <n v="26.2"/>
    <n v="0"/>
    <n v="0.33333333333333331"/>
    <n v="0.66666666666666663"/>
    <n v="202.83333333333334"/>
    <x v="1"/>
    <x v="1"/>
  </r>
  <r>
    <x v="68"/>
    <s v="KGZ"/>
    <x v="1"/>
    <n v="0"/>
    <n v="2"/>
    <n v="4"/>
    <n v="6"/>
    <s v="Needs improvement"/>
    <n v="1969.87"/>
    <n v="2023"/>
    <n v="7.1"/>
    <n v="0"/>
    <n v="0.33333333333333331"/>
    <n v="0.66666666666666663"/>
    <n v="328.31166666666667"/>
    <x v="1"/>
    <x v="1"/>
  </r>
  <r>
    <x v="69"/>
    <s v="LTU"/>
    <x v="3"/>
    <n v="0"/>
    <n v="2"/>
    <n v="2"/>
    <n v="4"/>
    <s v="Needs improvement"/>
    <n v="27102.78"/>
    <n v="2023"/>
    <n v="2.9"/>
    <n v="0"/>
    <n v="0.5"/>
    <n v="0.5"/>
    <n v="6775.6949999999997"/>
    <x v="1"/>
    <x v="1"/>
  </r>
  <r>
    <x v="70"/>
    <s v="IND"/>
    <x v="1"/>
    <n v="0"/>
    <n v="1"/>
    <n v="5"/>
    <n v="6"/>
    <s v="Needs improvement"/>
    <n v="2484.85"/>
    <n v="2023"/>
    <n v="1428.6"/>
    <n v="0"/>
    <n v="0.16666666666666666"/>
    <n v="0.83333333333333337"/>
    <n v="414.14166666666665"/>
    <x v="1"/>
    <x v="1"/>
  </r>
  <r>
    <x v="71"/>
    <s v="MDA"/>
    <x v="3"/>
    <n v="0"/>
    <n v="1"/>
    <n v="3"/>
    <n v="4"/>
    <s v="Needs improvement"/>
    <n v="6650.65"/>
    <n v="2023"/>
    <n v="2.5"/>
    <n v="0"/>
    <n v="0.25"/>
    <n v="0.75"/>
    <n v="1662.6624999999999"/>
    <x v="1"/>
    <x v="1"/>
  </r>
  <r>
    <x v="72"/>
    <s v="XKX"/>
    <x v="3"/>
    <n v="0"/>
    <n v="1"/>
    <n v="1"/>
    <n v="2"/>
    <s v="Needs improvement"/>
    <n v="5943.13"/>
    <n v="2023"/>
    <n v="1.8"/>
    <n v="0"/>
    <n v="0.5"/>
    <n v="0.5"/>
    <n v="2971.5650000000001"/>
    <x v="1"/>
    <x v="1"/>
  </r>
  <r>
    <x v="73"/>
    <s v="CYP"/>
    <x v="3"/>
    <n v="0"/>
    <n v="1"/>
    <n v="0"/>
    <n v="1"/>
    <s v="Needs improvement"/>
    <n v="34701.440000000002"/>
    <n v="2023"/>
    <n v="1.3"/>
    <n v="0"/>
    <n v="1"/>
    <n v="0"/>
    <n v="34701.440000000002"/>
    <x v="1"/>
    <x v="1"/>
  </r>
  <r>
    <x v="74"/>
    <s v="FJI"/>
    <x v="2"/>
    <n v="0"/>
    <n v="1"/>
    <n v="0"/>
    <n v="1"/>
    <s v="Needs improvement"/>
    <n v="5868.16"/>
    <n v="2023"/>
    <n v="0.9"/>
    <n v="0"/>
    <n v="1"/>
    <n v="0"/>
    <n v="5868.16"/>
    <x v="1"/>
    <x v="1"/>
  </r>
  <r>
    <x v="75"/>
    <s v="JOR"/>
    <x v="1"/>
    <n v="0"/>
    <n v="1"/>
    <n v="0"/>
    <n v="1"/>
    <s v="Needs improvement"/>
    <n v="4482.09"/>
    <n v="2023"/>
    <n v="11.3"/>
    <n v="0"/>
    <n v="1"/>
    <n v="0"/>
    <n v="4482.09"/>
    <x v="1"/>
    <x v="1"/>
  </r>
  <r>
    <x v="76"/>
    <s v="MNG"/>
    <x v="1"/>
    <n v="0"/>
    <n v="1"/>
    <n v="0"/>
    <n v="1"/>
    <s v="Needs improvement"/>
    <n v="5764.8"/>
    <n v="2023"/>
    <n v="3.4"/>
    <n v="0"/>
    <n v="1"/>
    <n v="0"/>
    <n v="5764.8"/>
    <x v="1"/>
    <x v="1"/>
  </r>
  <r>
    <x v="77"/>
    <s v="PAN"/>
    <x v="5"/>
    <n v="0"/>
    <n v="1"/>
    <n v="0"/>
    <n v="1"/>
    <s v="Needs improvement"/>
    <n v="18661.77"/>
    <n v="2023"/>
    <n v="4.5"/>
    <n v="0"/>
    <n v="1"/>
    <n v="0"/>
    <n v="18661.77"/>
    <x v="1"/>
    <x v="1"/>
  </r>
  <r>
    <x v="78"/>
    <s v="TJK"/>
    <x v="1"/>
    <n v="0"/>
    <n v="0"/>
    <n v="3"/>
    <n v="3"/>
    <s v="Needs improvement"/>
    <n v="1188.99"/>
    <n v="2023"/>
    <n v="10.1"/>
    <n v="0"/>
    <n v="0"/>
    <n v="1"/>
    <n v="396.33"/>
    <x v="1"/>
    <x v="1"/>
  </r>
  <r>
    <x v="79"/>
    <s v="ALB"/>
    <x v="3"/>
    <n v="0"/>
    <n v="0"/>
    <n v="2"/>
    <n v="2"/>
    <s v="Needs improvement"/>
    <n v="8367.7800000000007"/>
    <n v="2023"/>
    <n v="2.7"/>
    <n v="0"/>
    <n v="0"/>
    <n v="1"/>
    <n v="4183.8900000000003"/>
    <x v="1"/>
    <x v="1"/>
  </r>
  <r>
    <x v="80"/>
    <s v="GRD"/>
    <x v="6"/>
    <n v="0"/>
    <n v="0"/>
    <n v="2"/>
    <n v="2"/>
    <s v="Needs improvement"/>
    <n v="10463.65"/>
    <n v="2023"/>
    <n v="0.1"/>
    <n v="0"/>
    <n v="0"/>
    <n v="1"/>
    <n v="5231.8249999999998"/>
    <x v="1"/>
    <x v="1"/>
  </r>
  <r>
    <x v="81"/>
    <s v="MYS"/>
    <x v="1"/>
    <n v="0"/>
    <n v="0"/>
    <n v="2"/>
    <n v="2"/>
    <s v="Needs improvement"/>
    <n v="11648.67"/>
    <n v="2023"/>
    <n v="34.299999999999997"/>
    <n v="0"/>
    <n v="0"/>
    <n v="1"/>
    <n v="5824.335"/>
    <x v="1"/>
    <x v="1"/>
  </r>
  <r>
    <x v="82"/>
    <s v="PRI"/>
    <x v="6"/>
    <n v="0"/>
    <n v="0"/>
    <n v="2"/>
    <n v="2"/>
    <s v="Needs improvement"/>
    <n v="36779.06"/>
    <n v="2023"/>
    <n v="3.2"/>
    <n v="0"/>
    <n v="0"/>
    <n v="1"/>
    <n v="18389.53"/>
    <x v="1"/>
    <x v="1"/>
  </r>
  <r>
    <x v="83"/>
    <s v="CPV"/>
    <x v="4"/>
    <n v="0"/>
    <n v="0"/>
    <n v="1"/>
    <n v="1"/>
    <s v="Needs improvement"/>
    <n v="4321.58"/>
    <n v="2023"/>
    <n v="0.6"/>
    <n v="0"/>
    <n v="0"/>
    <n v="1"/>
    <n v="4321.58"/>
    <x v="1"/>
    <x v="1"/>
  </r>
  <r>
    <x v="84"/>
    <s v="CIV"/>
    <x v="4"/>
    <n v="0"/>
    <n v="0"/>
    <n v="1"/>
    <n v="1"/>
    <s v="Needs improvement"/>
    <n v="2728.8"/>
    <n v="2023"/>
    <n v="28.9"/>
    <n v="0"/>
    <n v="0"/>
    <n v="1"/>
    <n v="2728.8"/>
    <x v="1"/>
    <x v="1"/>
  </r>
  <r>
    <x v="85"/>
    <s v="PER"/>
    <x v="5"/>
    <n v="0"/>
    <n v="0"/>
    <n v="1"/>
    <n v="1"/>
    <s v="Needs improvement"/>
    <n v="7789.87"/>
    <n v="2023"/>
    <n v="34.4"/>
    <n v="0"/>
    <n v="0"/>
    <n v="1"/>
    <n v="7789.87"/>
    <x v="1"/>
    <x v="1"/>
  </r>
  <r>
    <x v="86"/>
    <s v="QAT"/>
    <x v="1"/>
    <n v="0"/>
    <n v="0"/>
    <n v="1"/>
    <n v="1"/>
    <s v="Needs improvement"/>
    <n v="87480.42"/>
    <n v="2022"/>
    <n v="2.7"/>
    <n v="0"/>
    <n v="0"/>
    <n v="1"/>
    <n v="87480.42"/>
    <x v="0"/>
    <x v="1"/>
  </r>
  <r>
    <x v="87"/>
    <s v="SGP"/>
    <x v="1"/>
    <n v="0"/>
    <n v="0"/>
    <n v="1"/>
    <n v="1"/>
    <s v="Needs improvement"/>
    <n v="84734.26"/>
    <n v="2023"/>
    <n v="5.9"/>
    <n v="0"/>
    <n v="0"/>
    <n v="1"/>
    <n v="84734.26"/>
    <x v="0"/>
    <x v="1"/>
  </r>
  <r>
    <x v="88"/>
    <s v="SVK"/>
    <x v="3"/>
    <n v="0"/>
    <n v="0"/>
    <n v="1"/>
    <n v="1"/>
    <s v="Needs improvement"/>
    <n v="24470.240000000002"/>
    <n v="2023"/>
    <n v="5.4"/>
    <n v="0"/>
    <n v="0"/>
    <n v="1"/>
    <n v="24470.240000000002"/>
    <x v="1"/>
    <x v="1"/>
  </r>
  <r>
    <x v="89"/>
    <s v="ZMB"/>
    <x v="4"/>
    <n v="0"/>
    <n v="0"/>
    <n v="1"/>
    <n v="1"/>
    <s v="Needs improvement"/>
    <n v="1369.13"/>
    <n v="2023"/>
    <n v="20.6"/>
    <n v="0"/>
    <n v="0"/>
    <n v="1"/>
    <n v="1369.1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D5052B-1B53-4534-97CF-4ECDCB77F0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17">
    <pivotField showAll="0">
      <items count="91">
        <item x="70"/>
        <item x="19"/>
        <item x="79"/>
        <item x="38"/>
        <item x="51"/>
        <item x="65"/>
        <item x="3"/>
        <item x="35"/>
        <item x="29"/>
        <item x="32"/>
        <item x="24"/>
        <item x="54"/>
        <item x="25"/>
        <item x="11"/>
        <item x="83"/>
        <item x="55"/>
        <item x="1"/>
        <item x="66"/>
        <item x="30"/>
        <item x="31"/>
        <item x="73"/>
        <item x="27"/>
        <item x="28"/>
        <item x="61"/>
        <item x="58"/>
        <item x="48"/>
        <item x="52"/>
        <item x="46"/>
        <item x="74"/>
        <item x="4"/>
        <item x="23"/>
        <item x="9"/>
        <item x="6"/>
        <item x="50"/>
        <item x="80"/>
        <item x="59"/>
        <item x="36"/>
        <item x="13"/>
        <item x="39"/>
        <item x="20"/>
        <item x="18"/>
        <item x="40"/>
        <item x="8"/>
        <item x="84"/>
        <item x="43"/>
        <item x="2"/>
        <item x="75"/>
        <item x="42"/>
        <item x="16"/>
        <item x="72"/>
        <item x="68"/>
        <item x="69"/>
        <item x="81"/>
        <item x="64"/>
        <item x="71"/>
        <item x="76"/>
        <item x="60"/>
        <item x="5"/>
        <item x="10"/>
        <item x="67"/>
        <item x="17"/>
        <item x="62"/>
        <item x="77"/>
        <item x="85"/>
        <item x="37"/>
        <item x="41"/>
        <item x="49"/>
        <item x="82"/>
        <item x="86"/>
        <item x="22"/>
        <item x="26"/>
        <item x="87"/>
        <item x="88"/>
        <item x="33"/>
        <item x="44"/>
        <item x="7"/>
        <item x="14"/>
        <item x="56"/>
        <item x="15"/>
        <item x="47"/>
        <item x="34"/>
        <item x="78"/>
        <item x="45"/>
        <item x="53"/>
        <item x="63"/>
        <item x="57"/>
        <item x="21"/>
        <item x="0"/>
        <item x="12"/>
        <item x="89"/>
        <item t="default"/>
      </items>
    </pivotField>
    <pivotField showAll="0"/>
    <pivotField axis="axisRow" showAll="0">
      <items count="8">
        <item x="4"/>
        <item x="1"/>
        <item x="6"/>
        <item x="3"/>
        <item x="0"/>
        <item x="2"/>
        <item x="5"/>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3">
        <item x="1"/>
        <item x="0"/>
        <item t="default"/>
      </items>
    </pivotField>
  </pivotFields>
  <rowFields count="1">
    <field x="2"/>
  </rowFields>
  <rowItems count="8">
    <i>
      <x/>
    </i>
    <i>
      <x v="1"/>
    </i>
    <i>
      <x v="2"/>
    </i>
    <i>
      <x v="3"/>
    </i>
    <i>
      <x v="4"/>
    </i>
    <i>
      <x v="5"/>
    </i>
    <i>
      <x v="6"/>
    </i>
    <i t="grand">
      <x/>
    </i>
  </rowItems>
  <colItems count="1">
    <i/>
  </colItems>
  <dataFields count="1">
    <dataField name="Sum of Total"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9C189C-AADB-4F57-9498-7AE12A17763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1:B132" firstHeaderRow="1" firstDataRow="1" firstDataCol="1"/>
  <pivotFields count="17">
    <pivotField axis="axisRow" showAll="0">
      <items count="91">
        <item x="70"/>
        <item x="19"/>
        <item x="79"/>
        <item x="38"/>
        <item x="51"/>
        <item x="65"/>
        <item x="3"/>
        <item x="35"/>
        <item x="29"/>
        <item x="32"/>
        <item x="24"/>
        <item x="54"/>
        <item x="25"/>
        <item x="11"/>
        <item x="83"/>
        <item x="55"/>
        <item x="1"/>
        <item x="66"/>
        <item x="30"/>
        <item x="31"/>
        <item x="73"/>
        <item x="27"/>
        <item x="28"/>
        <item x="61"/>
        <item x="58"/>
        <item x="48"/>
        <item x="52"/>
        <item x="46"/>
        <item x="74"/>
        <item x="4"/>
        <item x="23"/>
        <item x="9"/>
        <item x="6"/>
        <item x="50"/>
        <item x="80"/>
        <item x="59"/>
        <item x="36"/>
        <item x="13"/>
        <item x="39"/>
        <item x="20"/>
        <item x="18"/>
        <item x="40"/>
        <item x="8"/>
        <item x="84"/>
        <item x="43"/>
        <item x="2"/>
        <item x="75"/>
        <item x="42"/>
        <item x="16"/>
        <item x="72"/>
        <item x="68"/>
        <item x="69"/>
        <item x="81"/>
        <item x="64"/>
        <item x="71"/>
        <item x="76"/>
        <item x="60"/>
        <item x="5"/>
        <item x="10"/>
        <item x="67"/>
        <item x="17"/>
        <item x="62"/>
        <item x="77"/>
        <item x="85"/>
        <item x="37"/>
        <item x="41"/>
        <item x="49"/>
        <item x="82"/>
        <item x="86"/>
        <item x="22"/>
        <item x="26"/>
        <item x="87"/>
        <item x="88"/>
        <item x="33"/>
        <item x="44"/>
        <item x="7"/>
        <item x="14"/>
        <item x="56"/>
        <item x="15"/>
        <item x="47"/>
        <item x="34"/>
        <item x="78"/>
        <item x="45"/>
        <item x="53"/>
        <item x="63"/>
        <item x="57"/>
        <item x="21"/>
        <item x="0"/>
        <item x="12"/>
        <item x="89"/>
        <item t="default"/>
      </items>
    </pivotField>
    <pivotField showAll="0"/>
    <pivotField showAll="0">
      <items count="8">
        <item x="4"/>
        <item x="1"/>
        <item x="6"/>
        <item x="3"/>
        <item x="0"/>
        <item x="2"/>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3">
        <item x="1"/>
        <item x="0"/>
        <item t="default"/>
      </items>
    </pivotField>
  </pivotFields>
  <rowFields count="1">
    <field x="0"/>
  </rowFields>
  <rowItems count="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t="grand">
      <x/>
    </i>
  </rowItems>
  <colItems count="1">
    <i/>
  </colItems>
  <dataFields count="1">
    <dataField name="Sum of Gold"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C43493-F9ED-447B-8CDC-9D1B4C0CEE4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6:B39" firstHeaderRow="1" firstDataRow="1" firstDataCol="1"/>
  <pivotFields count="17">
    <pivotField dataField="1" showAll="0">
      <items count="91">
        <item x="70"/>
        <item x="19"/>
        <item x="79"/>
        <item x="38"/>
        <item x="51"/>
        <item x="65"/>
        <item x="3"/>
        <item x="35"/>
        <item x="29"/>
        <item x="32"/>
        <item x="24"/>
        <item x="54"/>
        <item x="25"/>
        <item x="11"/>
        <item x="83"/>
        <item x="55"/>
        <item x="1"/>
        <item x="66"/>
        <item x="30"/>
        <item x="31"/>
        <item x="73"/>
        <item x="27"/>
        <item x="28"/>
        <item x="61"/>
        <item x="58"/>
        <item x="48"/>
        <item x="52"/>
        <item x="46"/>
        <item x="74"/>
        <item x="4"/>
        <item x="23"/>
        <item x="9"/>
        <item x="6"/>
        <item x="50"/>
        <item x="80"/>
        <item x="59"/>
        <item x="36"/>
        <item x="13"/>
        <item x="39"/>
        <item x="20"/>
        <item x="18"/>
        <item x="40"/>
        <item x="8"/>
        <item x="84"/>
        <item x="43"/>
        <item x="2"/>
        <item x="75"/>
        <item x="42"/>
        <item x="16"/>
        <item x="72"/>
        <item x="68"/>
        <item x="69"/>
        <item x="81"/>
        <item x="64"/>
        <item x="71"/>
        <item x="76"/>
        <item x="60"/>
        <item x="5"/>
        <item x="10"/>
        <item x="67"/>
        <item x="17"/>
        <item x="62"/>
        <item x="77"/>
        <item x="85"/>
        <item x="37"/>
        <item x="41"/>
        <item x="49"/>
        <item x="82"/>
        <item x="86"/>
        <item x="22"/>
        <item x="26"/>
        <item x="87"/>
        <item x="88"/>
        <item x="33"/>
        <item x="44"/>
        <item x="7"/>
        <item x="14"/>
        <item x="56"/>
        <item x="15"/>
        <item x="47"/>
        <item x="34"/>
        <item x="78"/>
        <item x="45"/>
        <item x="53"/>
        <item x="63"/>
        <item x="57"/>
        <item x="21"/>
        <item x="0"/>
        <item x="12"/>
        <item x="89"/>
        <item t="default"/>
      </items>
    </pivotField>
    <pivotField showAll="0"/>
    <pivotField showAll="0">
      <items count="8">
        <item x="4"/>
        <item x="1"/>
        <item x="6"/>
        <item x="3"/>
        <item x="0"/>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axis="axisRow" showAll="0">
      <items count="3">
        <item x="1"/>
        <item x="0"/>
        <item t="default"/>
      </items>
    </pivotField>
  </pivotFields>
  <rowFields count="1">
    <field x="16"/>
  </rowFields>
  <rowItems count="3">
    <i>
      <x/>
    </i>
    <i>
      <x v="1"/>
    </i>
    <i t="grand">
      <x/>
    </i>
  </rowItems>
  <colItems count="1">
    <i/>
  </colItems>
  <dataFields count="1">
    <dataField name="Count of Country" fld="0" subtotal="count" baseField="15"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6" count="1" selected="0">
            <x v="0"/>
          </reference>
        </references>
      </pivotArea>
    </chartFormat>
    <chartFormat chart="2" format="6">
      <pivotArea type="data" outline="0" fieldPosition="0">
        <references count="2">
          <reference field="4294967294" count="1" selected="0">
            <x v="0"/>
          </reference>
          <reference field="16" count="1" selected="0">
            <x v="1"/>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8668A8-D1FE-4D8E-A517-145F41E1E75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1:B34" firstHeaderRow="1" firstDataRow="1" firstDataCol="1"/>
  <pivotFields count="17">
    <pivotField dataField="1" showAll="0">
      <items count="91">
        <item x="70"/>
        <item x="19"/>
        <item x="79"/>
        <item x="38"/>
        <item x="51"/>
        <item x="65"/>
        <item x="3"/>
        <item x="35"/>
        <item x="29"/>
        <item x="32"/>
        <item x="24"/>
        <item x="54"/>
        <item x="25"/>
        <item x="11"/>
        <item x="83"/>
        <item x="55"/>
        <item x="1"/>
        <item x="66"/>
        <item x="30"/>
        <item x="31"/>
        <item x="73"/>
        <item x="27"/>
        <item x="28"/>
        <item x="61"/>
        <item x="58"/>
        <item x="48"/>
        <item x="52"/>
        <item x="46"/>
        <item x="74"/>
        <item x="4"/>
        <item x="23"/>
        <item x="9"/>
        <item x="6"/>
        <item x="50"/>
        <item x="80"/>
        <item x="59"/>
        <item x="36"/>
        <item x="13"/>
        <item x="39"/>
        <item x="20"/>
        <item x="18"/>
        <item x="40"/>
        <item x="8"/>
        <item x="84"/>
        <item x="43"/>
        <item x="2"/>
        <item x="75"/>
        <item x="42"/>
        <item x="16"/>
        <item x="72"/>
        <item x="68"/>
        <item x="69"/>
        <item x="81"/>
        <item x="64"/>
        <item x="71"/>
        <item x="76"/>
        <item x="60"/>
        <item x="5"/>
        <item x="10"/>
        <item x="67"/>
        <item x="17"/>
        <item x="62"/>
        <item x="77"/>
        <item x="85"/>
        <item x="37"/>
        <item x="41"/>
        <item x="49"/>
        <item x="82"/>
        <item x="86"/>
        <item x="22"/>
        <item x="26"/>
        <item x="87"/>
        <item x="88"/>
        <item x="33"/>
        <item x="44"/>
        <item x="7"/>
        <item x="14"/>
        <item x="56"/>
        <item x="15"/>
        <item x="47"/>
        <item x="34"/>
        <item x="78"/>
        <item x="45"/>
        <item x="53"/>
        <item x="63"/>
        <item x="57"/>
        <item x="21"/>
        <item x="0"/>
        <item x="12"/>
        <item x="89"/>
        <item t="default"/>
      </items>
    </pivotField>
    <pivotField showAll="0"/>
    <pivotField showAll="0">
      <items count="8">
        <item x="4"/>
        <item x="1"/>
        <item x="6"/>
        <item x="3"/>
        <item x="0"/>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items count="3">
        <item x="1"/>
        <item x="0"/>
        <item t="default"/>
      </items>
    </pivotField>
  </pivotFields>
  <rowFields count="1">
    <field x="15"/>
  </rowFields>
  <rowItems count="3">
    <i>
      <x/>
    </i>
    <i>
      <x v="1"/>
    </i>
    <i t="grand">
      <x/>
    </i>
  </rowItems>
  <colItems count="1">
    <i/>
  </colItems>
  <dataFields count="1">
    <dataField name="Count of Country" fld="0" subtotal="count" baseField="15"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5" count="1" selected="0">
            <x v="0"/>
          </reference>
        </references>
      </pivotArea>
    </chartFormat>
    <chartFormat chart="2" format="6">
      <pivotArea type="data" outline="0" fieldPosition="0">
        <references count="2">
          <reference field="4294967294" count="1" selected="0">
            <x v="0"/>
          </reference>
          <reference field="15" count="1" selected="0">
            <x v="1"/>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296AB4-97DF-4A82-8CA5-5E6F861B8AA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2:B30" firstHeaderRow="1" firstDataRow="1" firstDataCol="1"/>
  <pivotFields count="17">
    <pivotField showAll="0">
      <items count="91">
        <item x="70"/>
        <item x="19"/>
        <item x="79"/>
        <item x="38"/>
        <item x="51"/>
        <item x="65"/>
        <item x="3"/>
        <item x="35"/>
        <item x="29"/>
        <item x="32"/>
        <item x="24"/>
        <item x="54"/>
        <item x="25"/>
        <item x="11"/>
        <item x="83"/>
        <item x="55"/>
        <item x="1"/>
        <item x="66"/>
        <item x="30"/>
        <item x="31"/>
        <item x="73"/>
        <item x="27"/>
        <item x="28"/>
        <item x="61"/>
        <item x="58"/>
        <item x="48"/>
        <item x="52"/>
        <item x="46"/>
        <item x="74"/>
        <item x="4"/>
        <item x="23"/>
        <item x="9"/>
        <item x="6"/>
        <item x="50"/>
        <item x="80"/>
        <item x="59"/>
        <item x="36"/>
        <item x="13"/>
        <item x="39"/>
        <item x="20"/>
        <item x="18"/>
        <item x="40"/>
        <item x="8"/>
        <item x="84"/>
        <item x="43"/>
        <item x="2"/>
        <item x="75"/>
        <item x="42"/>
        <item x="16"/>
        <item x="72"/>
        <item x="68"/>
        <item x="69"/>
        <item x="81"/>
        <item x="64"/>
        <item x="71"/>
        <item x="76"/>
        <item x="60"/>
        <item x="5"/>
        <item x="10"/>
        <item x="67"/>
        <item x="17"/>
        <item x="62"/>
        <item x="77"/>
        <item x="85"/>
        <item x="37"/>
        <item x="41"/>
        <item x="49"/>
        <item x="82"/>
        <item x="86"/>
        <item x="22"/>
        <item x="26"/>
        <item x="87"/>
        <item x="88"/>
        <item x="33"/>
        <item x="44"/>
        <item x="7"/>
        <item x="14"/>
        <item x="56"/>
        <item x="15"/>
        <item x="47"/>
        <item x="34"/>
        <item x="78"/>
        <item x="45"/>
        <item x="53"/>
        <item x="63"/>
        <item x="57"/>
        <item x="21"/>
        <item x="0"/>
        <item x="12"/>
        <item x="89"/>
        <item t="default"/>
      </items>
    </pivotField>
    <pivotField showAll="0"/>
    <pivotField axis="axisRow" showAll="0">
      <items count="8">
        <item x="4"/>
        <item x="1"/>
        <item x="6"/>
        <item x="3"/>
        <item x="0"/>
        <item x="2"/>
        <item x="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
        <item x="0"/>
        <item x="1"/>
        <item t="default"/>
      </items>
    </pivotField>
    <pivotField showAll="0">
      <items count="3">
        <item x="1"/>
        <item x="0"/>
        <item t="default"/>
      </items>
    </pivotField>
  </pivotFields>
  <rowFields count="1">
    <field x="2"/>
  </rowFields>
  <rowItems count="8">
    <i>
      <x/>
    </i>
    <i>
      <x v="1"/>
    </i>
    <i>
      <x v="2"/>
    </i>
    <i>
      <x v="3"/>
    </i>
    <i>
      <x v="4"/>
    </i>
    <i>
      <x v="5"/>
    </i>
    <i>
      <x v="6"/>
    </i>
    <i t="grand">
      <x/>
    </i>
  </rowItems>
  <colItems count="1">
    <i/>
  </colItems>
  <dataFields count="1">
    <dataField name="Average of GDP per medal" fld="14" subtotal="average" baseField="2" baseItem="0"/>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6"/>
          </reference>
        </references>
      </pivotArea>
    </chartFormat>
    <chartFormat chart="2" format="4">
      <pivotArea type="data" outline="0" fieldPosition="0">
        <references count="2">
          <reference field="4294967294" count="1" selected="0">
            <x v="0"/>
          </reference>
          <reference field="2" count="1" selected="0">
            <x v="5"/>
          </reference>
        </references>
      </pivotArea>
    </chartFormat>
    <chartFormat chart="2" format="5">
      <pivotArea type="data" outline="0" fieldPosition="0">
        <references count="2">
          <reference field="4294967294" count="1" selected="0">
            <x v="0"/>
          </reference>
          <reference field="2" count="1" selected="0">
            <x v="4"/>
          </reference>
        </references>
      </pivotArea>
    </chartFormat>
    <chartFormat chart="2" format="6">
      <pivotArea type="data" outline="0" fieldPosition="0">
        <references count="2">
          <reference field="4294967294" count="1" selected="0">
            <x v="0"/>
          </reference>
          <reference field="2" count="1" selected="0">
            <x v="2"/>
          </reference>
        </references>
      </pivotArea>
    </chartFormat>
    <chartFormat chart="2" format="7">
      <pivotArea type="data" outline="0" fieldPosition="0">
        <references count="2">
          <reference field="4294967294" count="1" selected="0">
            <x v="0"/>
          </reference>
          <reference field="2" count="1" selected="0">
            <x v="1"/>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90656A-C5C2-4DB2-A95E-A0B4611CCA3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3:D21" firstHeaderRow="0" firstDataRow="1" firstDataCol="1"/>
  <pivotFields count="17">
    <pivotField showAll="0">
      <items count="91">
        <item x="70"/>
        <item x="19"/>
        <item x="79"/>
        <item x="38"/>
        <item x="51"/>
        <item x="65"/>
        <item x="3"/>
        <item x="35"/>
        <item x="29"/>
        <item x="32"/>
        <item x="24"/>
        <item x="54"/>
        <item x="25"/>
        <item x="11"/>
        <item x="83"/>
        <item x="55"/>
        <item x="1"/>
        <item x="66"/>
        <item x="30"/>
        <item x="31"/>
        <item x="73"/>
        <item x="27"/>
        <item x="28"/>
        <item x="61"/>
        <item x="58"/>
        <item x="48"/>
        <item x="52"/>
        <item x="46"/>
        <item x="74"/>
        <item x="4"/>
        <item x="23"/>
        <item x="9"/>
        <item x="6"/>
        <item x="50"/>
        <item x="80"/>
        <item x="59"/>
        <item x="36"/>
        <item x="13"/>
        <item x="39"/>
        <item x="20"/>
        <item x="18"/>
        <item x="40"/>
        <item x="8"/>
        <item x="84"/>
        <item x="43"/>
        <item x="2"/>
        <item x="75"/>
        <item x="42"/>
        <item x="16"/>
        <item x="72"/>
        <item x="68"/>
        <item x="69"/>
        <item x="81"/>
        <item x="64"/>
        <item x="71"/>
        <item x="76"/>
        <item x="60"/>
        <item x="5"/>
        <item x="10"/>
        <item x="67"/>
        <item x="17"/>
        <item x="62"/>
        <item x="77"/>
        <item x="85"/>
        <item x="37"/>
        <item x="41"/>
        <item x="49"/>
        <item x="82"/>
        <item x="86"/>
        <item x="22"/>
        <item x="26"/>
        <item x="87"/>
        <item x="88"/>
        <item x="33"/>
        <item x="44"/>
        <item x="7"/>
        <item x="14"/>
        <item x="56"/>
        <item x="15"/>
        <item x="47"/>
        <item x="34"/>
        <item x="78"/>
        <item x="45"/>
        <item x="53"/>
        <item x="63"/>
        <item x="57"/>
        <item x="21"/>
        <item x="0"/>
        <item x="12"/>
        <item x="89"/>
        <item t="default"/>
      </items>
    </pivotField>
    <pivotField showAll="0"/>
    <pivotField axis="axisRow" showAll="0">
      <items count="8">
        <item x="4"/>
        <item x="1"/>
        <item x="6"/>
        <item x="3"/>
        <item x="0"/>
        <item x="2"/>
        <item x="5"/>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items count="3">
        <item x="0"/>
        <item x="1"/>
        <item t="default"/>
      </items>
    </pivotField>
    <pivotField showAll="0">
      <items count="3">
        <item x="1"/>
        <item x="0"/>
        <item t="default"/>
      </items>
    </pivotField>
  </pivotFields>
  <rowFields count="1">
    <field x="2"/>
  </rowFields>
  <rowItems count="8">
    <i>
      <x/>
    </i>
    <i>
      <x v="1"/>
    </i>
    <i>
      <x v="2"/>
    </i>
    <i>
      <x v="3"/>
    </i>
    <i>
      <x v="4"/>
    </i>
    <i>
      <x v="5"/>
    </i>
    <i>
      <x v="6"/>
    </i>
    <i t="grand">
      <x/>
    </i>
  </rowItems>
  <colFields count="1">
    <field x="-2"/>
  </colFields>
  <colItems count="3">
    <i>
      <x/>
    </i>
    <i i="1">
      <x v="1"/>
    </i>
    <i i="2">
      <x v="2"/>
    </i>
  </colItems>
  <dataFields count="3">
    <dataField name="Average of Gold %" fld="11" subtotal="average" baseField="2" baseItem="0"/>
    <dataField name="Average of Silver%" fld="12" subtotal="average" baseField="2" baseItem="0"/>
    <dataField name="Average of Bronze%" fld="13" subtotal="average" baseField="2"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86D9F66-1949-494E-A86E-9DF5FCB3F1A6}" sourceName="Region">
  <pivotTables>
    <pivotTable tabId="15" name="PivotTable6"/>
    <pivotTable tabId="15" name="PivotTable1"/>
    <pivotTable tabId="15" name="PivotTable2"/>
    <pivotTable tabId="15" name="PivotTable3"/>
    <pivotTable tabId="15" name="PivotTable4"/>
    <pivotTable tabId="15" name="PivotTable5"/>
  </pivotTables>
  <data>
    <tabular pivotCacheId="388245962">
      <items count="7">
        <i x="4" s="1"/>
        <i x="1" s="1"/>
        <i x="6" s="1"/>
        <i x="3" s="1"/>
        <i x="0"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DP_Category" xr10:uid="{044FADE5-0050-4135-9379-23997737DFAA}" sourceName="GDP Category">
  <pivotTables>
    <pivotTable tabId="15" name="PivotTable4"/>
    <pivotTable tabId="15" name="PivotTable1"/>
    <pivotTable tabId="15" name="PivotTable2"/>
    <pivotTable tabId="15" name="PivotTable3"/>
    <pivotTable tabId="15" name="PivotTable5"/>
    <pivotTable tabId="15" name="PivotTable6"/>
  </pivotTables>
  <data>
    <tabular pivotCacheId="38824596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ce_category" xr10:uid="{FB717C08-ED7D-4B85-866B-68D442707BE1}" sourceName="Performace category">
  <pivotTables>
    <pivotTable tabId="15" name="PivotTable5"/>
    <pivotTable tabId="15" name="PivotTable1"/>
    <pivotTable tabId="15" name="PivotTable2"/>
    <pivotTable tabId="15" name="PivotTable3"/>
    <pivotTable tabId="15" name="PivotTable4"/>
    <pivotTable tabId="15" name="PivotTable6"/>
  </pivotTables>
  <data>
    <tabular pivotCacheId="38824596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DA5DB12-5A24-4811-85A0-72F5F73B4CE1}" sourceName="Country">
  <pivotTables>
    <pivotTable tabId="15" name="PivotTable1"/>
    <pivotTable tabId="15" name="PivotTable2"/>
    <pivotTable tabId="15" name="PivotTable3"/>
    <pivotTable tabId="15" name="PivotTable4"/>
    <pivotTable tabId="15" name="PivotTable5"/>
    <pivotTable tabId="15" name="PivotTable6"/>
  </pivotTables>
  <data>
    <tabular pivotCacheId="388245962">
      <items count="90">
        <i x="70" s="1"/>
        <i x="19" s="1"/>
        <i x="79" s="1"/>
        <i x="38" s="1"/>
        <i x="51" s="1"/>
        <i x="65" s="1"/>
        <i x="3" s="1"/>
        <i x="35" s="1"/>
        <i x="29" s="1"/>
        <i x="32" s="1"/>
        <i x="24" s="1"/>
        <i x="54" s="1"/>
        <i x="25" s="1"/>
        <i x="11" s="1"/>
        <i x="83" s="1"/>
        <i x="55" s="1"/>
        <i x="1" s="1"/>
        <i x="66" s="1"/>
        <i x="30" s="1"/>
        <i x="31" s="1"/>
        <i x="73" s="1"/>
        <i x="27" s="1"/>
        <i x="28" s="1"/>
        <i x="61" s="1"/>
        <i x="58" s="1"/>
        <i x="48" s="1"/>
        <i x="52" s="1"/>
        <i x="46" s="1"/>
        <i x="74" s="1"/>
        <i x="4" s="1"/>
        <i x="23" s="1"/>
        <i x="9" s="1"/>
        <i x="6" s="1"/>
        <i x="50" s="1"/>
        <i x="80" s="1"/>
        <i x="59" s="1"/>
        <i x="36" s="1"/>
        <i x="13" s="1"/>
        <i x="39" s="1"/>
        <i x="20" s="1"/>
        <i x="18" s="1"/>
        <i x="40" s="1"/>
        <i x="8" s="1"/>
        <i x="84" s="1"/>
        <i x="43" s="1"/>
        <i x="2" s="1"/>
        <i x="75" s="1"/>
        <i x="42" s="1"/>
        <i x="16" s="1"/>
        <i x="72" s="1"/>
        <i x="68" s="1"/>
        <i x="69" s="1"/>
        <i x="81" s="1"/>
        <i x="64" s="1"/>
        <i x="71" s="1"/>
        <i x="76" s="1"/>
        <i x="60" s="1"/>
        <i x="5" s="1"/>
        <i x="10" s="1"/>
        <i x="67" s="1"/>
        <i x="17" s="1"/>
        <i x="62" s="1"/>
        <i x="77" s="1"/>
        <i x="85" s="1"/>
        <i x="37" s="1"/>
        <i x="41" s="1"/>
        <i x="49" s="1"/>
        <i x="82" s="1"/>
        <i x="86" s="1"/>
        <i x="22" s="1"/>
        <i x="26" s="1"/>
        <i x="87" s="1"/>
        <i x="88" s="1"/>
        <i x="33" s="1"/>
        <i x="44" s="1"/>
        <i x="7" s="1"/>
        <i x="14" s="1"/>
        <i x="56" s="1"/>
        <i x="15" s="1"/>
        <i x="47" s="1"/>
        <i x="34" s="1"/>
        <i x="78" s="1"/>
        <i x="45" s="1"/>
        <i x="53" s="1"/>
        <i x="63" s="1"/>
        <i x="57" s="1"/>
        <i x="21" s="1"/>
        <i x="0" s="1"/>
        <i x="12" s="1"/>
        <i x="8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AADD167-C058-4097-A9FF-3EB61E6CE01A}" cache="Slicer_Region" caption="Region" rowHeight="241300"/>
  <slicer name="GDP Category 1" xr10:uid="{FF4B60D8-D71F-42C8-8B59-6C5D5565CF32}" cache="Slicer_GDP_Category" caption="GDP Category" rowHeight="241300"/>
  <slicer name="Performace category 1" xr10:uid="{6DF64E2E-700E-4ACE-90D0-DDC61AD5B9B7}" cache="Slicer_Performace_category" caption="Performace category" rowHeight="241300"/>
  <slicer name="Country 1" xr10:uid="{0CE919DF-C91D-4B0F-AA9C-0E77BA3FB438}" cache="Slicer_Country" caption="Country" startItem="27"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0498B35-5634-4D88-BC03-FBCD183141CE}" cache="Slicer_Region" caption="Region" rowHeight="241300"/>
  <slicer name="GDP Category" xr10:uid="{3121FAC5-79B9-4D81-A360-B2E58C3D9053}" cache="Slicer_GDP_Category" caption="GDP Category" rowHeight="241300"/>
  <slicer name="Performace category" xr10:uid="{33D163FB-9E6A-4571-982D-1C376649E1F0}" cache="Slicer_Performace_category" caption="Performace category" rowHeight="241300"/>
  <slicer name="Country" xr10:uid="{2C1EF80E-3CB1-48F8-AE0C-40EBE56DA6DD}" cache="Slicer_Country" caption="Count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4EABBB-2AF7-43D1-93D8-2DE9A093B26F}" name="Table13" displayName="Table13" ref="A1:J91" totalsRowShown="0" headerRowDxfId="107" headerRowBorderDxfId="106" tableBorderDxfId="105" totalsRowBorderDxfId="104">
  <tableColumns count="10">
    <tableColumn id="1" xr3:uid="{B905A6AB-95E0-445D-B730-A6B29C38282D}" name="Country" dataDxfId="103"/>
    <tableColumn id="2" xr3:uid="{C6AA4715-FF7E-4B9F-8440-09E955BB1F89}" name="Country_code" dataDxfId="102"/>
    <tableColumn id="3" xr3:uid="{FCDF95F9-BBED-4837-A560-857D739EBBB6}" name="Region" dataDxfId="101"/>
    <tableColumn id="4" xr3:uid="{2B1686D7-0C74-4708-B2B2-CAEE855BEFEC}" name="Gold" dataDxfId="100"/>
    <tableColumn id="5" xr3:uid="{B985E64B-2D51-4879-9D67-02DE509EFE52}" name="Silver" dataDxfId="99"/>
    <tableColumn id="6" xr3:uid="{D2B7A564-4838-4FEE-B993-BDBC54825F91}" name="Bronze" dataDxfId="98"/>
    <tableColumn id="7" xr3:uid="{EACC792C-FDB5-4DE6-8D33-39D09CBED31E}" name="Total" dataDxfId="97"/>
    <tableColumn id="9" xr3:uid="{45F30F4D-ABB2-466A-8C7A-CADE8F35239D}" name="GDP" dataDxfId="96"/>
    <tableColumn id="10" xr3:uid="{C14A440D-7DD3-40EC-9A64-648D4E4696C4}" name="GDP_year" dataDxfId="95"/>
    <tableColumn id="11" xr3:uid="{81A2265C-B10A-485B-8E46-63D7A1380977}" name="Population" dataDxfId="94"/>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BAC02B5-DCEE-4D63-902B-E7A89F169871}" name="Table1456" displayName="Table1456" ref="A1:T91" totalsRowShown="0" headerRowDxfId="93" headerRowBorderDxfId="92" tableBorderDxfId="91" totalsRowBorderDxfId="90">
  <tableColumns count="20">
    <tableColumn id="1" xr3:uid="{133FD34B-9690-4895-B7AA-5444C2A0BE9B}" name="Country" dataDxfId="89"/>
    <tableColumn id="2" xr3:uid="{363E7A29-A8A6-4973-8AE2-AC52E96747F2}" name="Country_code" dataDxfId="88"/>
    <tableColumn id="3" xr3:uid="{F7B363D4-EF54-4457-91E5-D08969D9BA81}" name="Region" dataDxfId="87"/>
    <tableColumn id="4" xr3:uid="{8427C747-1080-4810-B299-DFD8884CC529}" name="Gold" dataDxfId="86"/>
    <tableColumn id="5" xr3:uid="{30D4B346-F50B-43E9-9436-C05B4A95F4AC}" name="Silver" dataDxfId="85"/>
    <tableColumn id="6" xr3:uid="{E9AF2091-4C75-4860-B975-7ABDF5BC3466}" name="Bronze" dataDxfId="84"/>
    <tableColumn id="7" xr3:uid="{DAAB6CE5-0C1A-4A7B-88FC-3DBA955BB846}" name="Total" dataDxfId="83"/>
    <tableColumn id="8" xr3:uid="{AED0C2B3-560E-4EE6-8020-501DE18D3546}" name="Performance" dataDxfId="82">
      <calculatedColumnFormula>IF(G2&gt;=100,"Excellent","Needs improvement")</calculatedColumnFormula>
    </tableColumn>
    <tableColumn id="9" xr3:uid="{F86F28C2-913F-4513-A05C-061FCF027677}" name="GDP" dataDxfId="81"/>
    <tableColumn id="10" xr3:uid="{10531918-96DC-4E0C-9044-193038D72424}" name="GDP_year" dataDxfId="80"/>
    <tableColumn id="11" xr3:uid="{3F1AD517-1D58-4B6E-918C-9FAA5C70E0D6}" name="Population" dataDxfId="79"/>
    <tableColumn id="12" xr3:uid="{70D6FF58-C737-41F9-8BA3-B06A01B97929}" name="Gold %" dataDxfId="78">
      <calculatedColumnFormula>D2/G2</calculatedColumnFormula>
    </tableColumn>
    <tableColumn id="13" xr3:uid="{DDDED6A7-BB84-49E2-9A38-D3505967F10A}" name="Silver%" dataDxfId="77" dataCellStyle="Percent">
      <calculatedColumnFormula>E2/G2</calculatedColumnFormula>
    </tableColumn>
    <tableColumn id="14" xr3:uid="{612A0EAB-20A0-4733-87ED-5C157E612FFC}" name="Bronze%" dataDxfId="76" dataCellStyle="Percent">
      <calculatedColumnFormula>F2/G2</calculatedColumnFormula>
    </tableColumn>
    <tableColumn id="19" xr3:uid="{5CC2E575-0ED5-431C-84A4-0E00336C9C7F}" name="Medals efficiency" dataDxfId="75" dataCellStyle="Percent">
      <calculatedColumnFormula>Table1456[[#This Row],[Total]]/Table1456[[#This Row],[Population]]</calculatedColumnFormula>
    </tableColumn>
    <tableColumn id="20" xr3:uid="{D5B72C65-012A-42D1-B793-3DC1B53A20F4}" name="Weighted medal score" dataDxfId="74" dataCellStyle="Percent">
      <calculatedColumnFormula>(Table1456[[#This Row],[Gold]]*3)+(Table1456[[#This Row],[Silver]]*2)+(Table1456[[#This Row],[Bronze]]*1)</calculatedColumnFormula>
    </tableColumn>
    <tableColumn id="15" xr3:uid="{0E69A975-EBF8-4EE1-ACB4-5CC3ABE7D44C}" name="GDP per medal" dataDxfId="73" dataCellStyle="Percent">
      <calculatedColumnFormula>I2/G2</calculatedColumnFormula>
    </tableColumn>
    <tableColumn id="18" xr3:uid="{D056296D-DFDF-483A-AE71-13B77E225903}" name="GDP Contribution" dataDxfId="72" dataCellStyle="Percent">
      <calculatedColumnFormula>PRODUCT(Table1456[[#This Row],[GDP]]*Table1456[[#This Row],[Gold]])</calculatedColumnFormula>
    </tableColumn>
    <tableColumn id="16" xr3:uid="{FB59BA4F-7AD7-4A5A-AAF0-2A2369E45697}" name="GDP Category" dataDxfId="71">
      <calculatedColumnFormula>IF(I2&gt;=50000,"High GDP","Low GDP")</calculatedColumnFormula>
    </tableColumn>
    <tableColumn id="17" xr3:uid="{B53AF33B-94CA-4F37-AF51-C95B319B1F38}" name="Performace category" dataDxfId="70">
      <calculatedColumnFormula>IF(D2&gt;=20,"Top performer","Low performer")</calculatedColumnFormula>
    </tableColumn>
  </tableColumns>
  <tableStyleInfo name="TableStyleMedium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3052A16-7826-4485-87ED-03572D6D92F6}" name="Table145" displayName="Table145" ref="A1:Q91" totalsRowShown="0" headerRowDxfId="69" headerRowBorderDxfId="68" tableBorderDxfId="67" totalsRowBorderDxfId="66">
  <autoFilter ref="A1:Q91" xr:uid="{0D8A54BF-E23B-4524-82C7-9861F720C79E}"/>
  <sortState xmlns:xlrd2="http://schemas.microsoft.com/office/spreadsheetml/2017/richdata2" ref="A2:Q91">
    <sortCondition descending="1" ref="L1:L91"/>
  </sortState>
  <tableColumns count="17">
    <tableColumn id="1" xr3:uid="{515C3CA8-A726-49E0-BB57-BE39983C09AB}" name="Country" dataDxfId="65"/>
    <tableColumn id="2" xr3:uid="{1FDC6D76-2C83-4109-BFAF-0308020ADF91}" name="Country_code" dataDxfId="64"/>
    <tableColumn id="3" xr3:uid="{34981CA6-DA23-4924-AA96-92499C7FDE91}" name="Region" dataDxfId="63"/>
    <tableColumn id="4" xr3:uid="{7932587C-F42D-407F-A674-74E125D94C17}" name="Gold" dataDxfId="62"/>
    <tableColumn id="5" xr3:uid="{6A38A051-3EB8-4555-B9DF-EDEBC340EF37}" name="Silver" dataDxfId="61"/>
    <tableColumn id="6" xr3:uid="{633E22FF-66F2-43CE-868A-DF91BEB6E972}" name="Bronze" dataDxfId="60"/>
    <tableColumn id="7" xr3:uid="{B5CD88D7-10F6-442A-804C-2491CB9F769C}" name="Total" dataDxfId="59"/>
    <tableColumn id="8" xr3:uid="{D819C554-2FB7-4B19-B9AE-BA8329380E8B}" name="Performance" dataDxfId="58">
      <calculatedColumnFormula>IF(G2&gt;=100,"Excellent","Needs improvement")</calculatedColumnFormula>
    </tableColumn>
    <tableColumn id="9" xr3:uid="{D758CBBD-88CC-41C4-BB59-534E4C9AFAAF}" name="GDP" dataDxfId="57"/>
    <tableColumn id="10" xr3:uid="{3C48BDA0-B581-479A-B69A-BF4C55B317D4}" name="GDP_year" dataDxfId="56"/>
    <tableColumn id="11" xr3:uid="{B6A3BC59-E143-4FF2-BDAC-E5A396C27F0D}" name="Population" dataDxfId="55"/>
    <tableColumn id="12" xr3:uid="{9DB19074-0A54-4F2F-B796-7B611E3FE2FC}" name="Gold %" dataDxfId="54">
      <calculatedColumnFormula>D2/G2</calculatedColumnFormula>
    </tableColumn>
    <tableColumn id="13" xr3:uid="{855F91A7-BF44-46CB-9F97-86B84F8C0FCB}" name="Silver%" dataDxfId="53" dataCellStyle="Percent">
      <calculatedColumnFormula>E2/G2</calculatedColumnFormula>
    </tableColumn>
    <tableColumn id="14" xr3:uid="{DB346A77-E44F-42A1-B154-56CA4B83BF13}" name="Bronze%" dataDxfId="52" dataCellStyle="Percent">
      <calculatedColumnFormula>F2/G2</calculatedColumnFormula>
    </tableColumn>
    <tableColumn id="15" xr3:uid="{74695AA8-C816-4460-8476-27D0A2FBCE91}" name="GDP per medal" dataDxfId="51" dataCellStyle="Percent">
      <calculatedColumnFormula>I2/G2</calculatedColumnFormula>
    </tableColumn>
    <tableColumn id="16" xr3:uid="{30481FEA-3FDF-4D7C-B0C6-585357B00257}" name="GDP Category" dataDxfId="50">
      <calculatedColumnFormula>IF(I2&gt;=50000,"High GDP","Low GDP")</calculatedColumnFormula>
    </tableColumn>
    <tableColumn id="17" xr3:uid="{127075F7-774C-495F-A85A-FE4B4B85D5A1}" name="Performace category" dataDxfId="49">
      <calculatedColumnFormula>IF(D2&gt;=20,"Top performer","Low performer")</calculatedColumnFormula>
    </tableColumn>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00CA5A7-BFF3-4EB7-B679-8E94E506DE9F}" name="Table14" displayName="Table14" ref="A1:Q91" totalsRowShown="0" headerRowDxfId="48" headerRowBorderDxfId="47" tableBorderDxfId="46" totalsRowBorderDxfId="45">
  <autoFilter ref="A1:Q91" xr:uid="{0D8A54BF-E23B-4524-82C7-9861F720C79E}"/>
  <sortState xmlns:xlrd2="http://schemas.microsoft.com/office/spreadsheetml/2017/richdata2" ref="A2:Q91">
    <sortCondition descending="1" ref="N1:N91"/>
  </sortState>
  <tableColumns count="17">
    <tableColumn id="1" xr3:uid="{7BD5D3A8-A7AF-439C-9550-9379522F9344}" name="Country" dataDxfId="44"/>
    <tableColumn id="2" xr3:uid="{5D2B76F8-544D-447F-A141-B20D19780608}" name="Country_code" dataDxfId="43"/>
    <tableColumn id="3" xr3:uid="{649B7671-0B04-45AB-9732-BF3709CEDB91}" name="Region" dataDxfId="42"/>
    <tableColumn id="4" xr3:uid="{3E862046-B2BC-46E9-BDF2-E314227CEB01}" name="Gold" dataDxfId="41"/>
    <tableColumn id="5" xr3:uid="{6B4ADADE-E9A1-48CE-9800-077036D33F30}" name="Silver" dataDxfId="40"/>
    <tableColumn id="6" xr3:uid="{95567FE5-094D-49E2-B5CE-1E4CD2704AC5}" name="Bronze" dataDxfId="39"/>
    <tableColumn id="7" xr3:uid="{E9241241-E65D-4C4B-BD46-6798A7A9F0BB}" name="Total" dataDxfId="38"/>
    <tableColumn id="8" xr3:uid="{658F85AD-75BC-46F6-9D09-17F192A9BC40}" name="Performance" dataDxfId="37">
      <calculatedColumnFormula>IF(G2&gt;=100,"Excellent","Needs improvement")</calculatedColumnFormula>
    </tableColumn>
    <tableColumn id="9" xr3:uid="{8EA2DA43-048B-4CED-86C4-CCBD1F3E254D}" name="GDP" dataDxfId="36"/>
    <tableColumn id="10" xr3:uid="{F0D13F9E-7847-4BFC-AD3B-4DB0B09D978A}" name="GDP_year" dataDxfId="35"/>
    <tableColumn id="11" xr3:uid="{27020704-EC38-450F-832E-D756BFA8E0E4}" name="Population" dataDxfId="34"/>
    <tableColumn id="12" xr3:uid="{9DAAFC65-D084-4C6F-908C-FE776D992BB1}" name="Gold %" dataDxfId="33">
      <calculatedColumnFormula>D2/G2</calculatedColumnFormula>
    </tableColumn>
    <tableColumn id="13" xr3:uid="{89716E13-3555-444E-B0F7-E5BDFBA5448F}" name="Silver%" dataDxfId="32" dataCellStyle="Percent">
      <calculatedColumnFormula>E2/G2</calculatedColumnFormula>
    </tableColumn>
    <tableColumn id="14" xr3:uid="{A9825464-1ED7-4291-8C1C-949453D8C4E0}" name="Bronze%" dataDxfId="31" dataCellStyle="Percent">
      <calculatedColumnFormula>F2/G2</calculatedColumnFormula>
    </tableColumn>
    <tableColumn id="15" xr3:uid="{A03B875B-F5E2-4A04-AA32-0E8E17384E53}" name="GDP per medal" dataDxfId="30" dataCellStyle="Percent">
      <calculatedColumnFormula>I2/G2</calculatedColumnFormula>
    </tableColumn>
    <tableColumn id="16" xr3:uid="{D0E83ED4-FF98-4E2A-95A2-043748B43DBC}" name="GDP Category" dataDxfId="29">
      <calculatedColumnFormula>IF(I2&gt;=50000,"High GDP","Low GDP")</calculatedColumnFormula>
    </tableColumn>
    <tableColumn id="17" xr3:uid="{4D608DF2-4D96-4209-9C00-F0120DE3834A}" name="Performace category" dataDxfId="28">
      <calculatedColumnFormula>IF(D2&gt;=20,"Top performer","Low performer")</calculatedColumnFormula>
    </tableColumn>
  </tableColumns>
  <tableStyleInfo name="TableStyleMedium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8A54BF-E23B-4524-82C7-9861F720C79E}" name="Table1" displayName="Table1" ref="A1:Q91" totalsRowShown="0" headerRowDxfId="27" headerRowBorderDxfId="26" tableBorderDxfId="25" totalsRowBorderDxfId="24">
  <autoFilter ref="A1:Q91" xr:uid="{0D8A54BF-E23B-4524-82C7-9861F720C79E}">
    <filterColumn colId="2">
      <filters>
        <filter val="Asia"/>
      </filters>
    </filterColumn>
    <filterColumn colId="15">
      <filters>
        <filter val="Low GDP"/>
      </filters>
    </filterColumn>
  </autoFilter>
  <sortState xmlns:xlrd2="http://schemas.microsoft.com/office/spreadsheetml/2017/richdata2" ref="A3:Q83">
    <sortCondition descending="1" ref="D1:D91"/>
  </sortState>
  <tableColumns count="17">
    <tableColumn id="1" xr3:uid="{73FFE33D-4D38-4E3A-9D05-3D843E3A69AF}" name="Country" dataDxfId="23"/>
    <tableColumn id="2" xr3:uid="{931D8302-A7D1-474D-AC26-D4FB2B19B4F8}" name="Country_code" dataDxfId="22"/>
    <tableColumn id="3" xr3:uid="{A829A984-E147-4948-91FA-FE8CE47858CA}" name="Region" dataDxfId="21"/>
    <tableColumn id="4" xr3:uid="{EDE56BF6-79A4-459A-8745-5A27C3921D40}" name="Gold" dataDxfId="20"/>
    <tableColumn id="5" xr3:uid="{A11209D9-8024-447E-847D-8125BA698825}" name="Silver" dataDxfId="19"/>
    <tableColumn id="6" xr3:uid="{E8AA6913-91DB-4790-A762-5D284F773DD7}" name="Bronze" dataDxfId="18"/>
    <tableColumn id="7" xr3:uid="{83FDE836-0518-4E60-8280-AD069A270905}" name="Total" dataDxfId="17"/>
    <tableColumn id="8" xr3:uid="{6ACF4B35-5655-4DDB-86F9-09A6AC3F3407}" name="Performance" dataDxfId="16">
      <calculatedColumnFormula>IF(G2&gt;=100,"Excellent","Needs improvement")</calculatedColumnFormula>
    </tableColumn>
    <tableColumn id="9" xr3:uid="{EB67B8CE-CF1A-4BB1-8A9D-82C896FD9505}" name="GDP" dataDxfId="15"/>
    <tableColumn id="10" xr3:uid="{4F0C155A-204D-4A51-BC78-12A84192DCA1}" name="GDP_year" dataDxfId="14"/>
    <tableColumn id="11" xr3:uid="{99F6BEF5-B82C-4571-B5E3-C2A36077D07C}" name="Population" dataDxfId="13"/>
    <tableColumn id="12" xr3:uid="{BF48DFF9-65E8-4D4B-8CAA-BA15BCD6601A}" name="Gold %" dataDxfId="12">
      <calculatedColumnFormula>D2/G2</calculatedColumnFormula>
    </tableColumn>
    <tableColumn id="13" xr3:uid="{37F1FD0D-76BE-47ED-9B5A-8FCDF6D1B8AD}" name="Silver%" dataDxfId="11" dataCellStyle="Percent">
      <calculatedColumnFormula>E2/G2</calculatedColumnFormula>
    </tableColumn>
    <tableColumn id="14" xr3:uid="{267F21A4-15C1-497F-BEE1-B8AA1743F9C9}" name="Bronze%" dataDxfId="10" dataCellStyle="Percent">
      <calculatedColumnFormula>F2/G2</calculatedColumnFormula>
    </tableColumn>
    <tableColumn id="15" xr3:uid="{7534EDBE-3B3B-4AE0-9CD3-B018914E7033}" name="GDP per medal" dataDxfId="9" dataCellStyle="Percent">
      <calculatedColumnFormula>I2/G2</calculatedColumnFormula>
    </tableColumn>
    <tableColumn id="16" xr3:uid="{2D395290-3471-414D-92BA-F69C71DC2E2B}" name="GDP Category" dataDxfId="8">
      <calculatedColumnFormula>IF(I2&gt;=50000,"High GDP","Low GDP")</calculatedColumnFormula>
    </tableColumn>
    <tableColumn id="17" xr3:uid="{EBCF27B5-07EA-4C04-829C-22C2DA72EDF7}" name="Performace category" dataDxfId="7">
      <calculatedColumnFormula>IF(D2&gt;=20,"Top performer","Low performer")</calculatedColumnFormula>
    </tableColumn>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CEDC1-61C9-4DC8-9657-AE45C1F49E96}">
  <sheetPr>
    <tabColor theme="0"/>
  </sheetPr>
  <dimension ref="A1:Q91"/>
  <sheetViews>
    <sheetView workbookViewId="0">
      <selection activeCell="D19" sqref="D19"/>
    </sheetView>
  </sheetViews>
  <sheetFormatPr defaultRowHeight="15" x14ac:dyDescent="0.25"/>
  <cols>
    <col min="1" max="1" width="18.85546875" style="2" bestFit="1" customWidth="1"/>
    <col min="2" max="2" width="18" style="2" bestFit="1" customWidth="1"/>
    <col min="3" max="3" width="14" style="2" bestFit="1" customWidth="1"/>
    <col min="4" max="4" width="9.85546875" style="2" bestFit="1" customWidth="1"/>
    <col min="5" max="5" width="10.5703125" style="2" bestFit="1" customWidth="1"/>
    <col min="6" max="6" width="11.7109375" style="2" bestFit="1" customWidth="1"/>
    <col min="7" max="8" width="10" style="2" bestFit="1" customWidth="1"/>
    <col min="9" max="9" width="14.28515625" style="2" bestFit="1" customWidth="1"/>
    <col min="10" max="10" width="15.28515625" style="2" bestFit="1" customWidth="1"/>
  </cols>
  <sheetData>
    <row r="1" spans="1:17" x14ac:dyDescent="0.25">
      <c r="A1" s="15" t="s">
        <v>238</v>
      </c>
      <c r="B1" s="16" t="s">
        <v>239</v>
      </c>
      <c r="C1" s="16" t="s">
        <v>240</v>
      </c>
      <c r="D1" s="16" t="s">
        <v>241</v>
      </c>
      <c r="E1" s="16" t="s">
        <v>242</v>
      </c>
      <c r="F1" s="16" t="s">
        <v>243</v>
      </c>
      <c r="G1" s="16" t="s">
        <v>244</v>
      </c>
      <c r="H1" s="16" t="s">
        <v>245</v>
      </c>
      <c r="I1" s="16" t="s">
        <v>246</v>
      </c>
      <c r="J1" s="16" t="s">
        <v>247</v>
      </c>
      <c r="K1" s="8"/>
      <c r="L1" s="8"/>
      <c r="M1" s="8"/>
      <c r="N1" s="8"/>
      <c r="O1" s="8"/>
      <c r="P1" s="8"/>
      <c r="Q1" s="8"/>
    </row>
    <row r="2" spans="1:17" x14ac:dyDescent="0.25">
      <c r="A2" s="13" t="s">
        <v>0</v>
      </c>
      <c r="B2" s="1" t="s">
        <v>1</v>
      </c>
      <c r="C2" s="1" t="s">
        <v>2</v>
      </c>
      <c r="D2" s="1">
        <v>40</v>
      </c>
      <c r="E2" s="1">
        <v>44</v>
      </c>
      <c r="F2" s="1">
        <v>42</v>
      </c>
      <c r="G2" s="1">
        <v>126</v>
      </c>
      <c r="H2" s="1">
        <v>81695.19</v>
      </c>
      <c r="I2" s="1">
        <v>2023</v>
      </c>
      <c r="J2" s="1">
        <v>334.9</v>
      </c>
      <c r="K2" s="8"/>
      <c r="L2" s="8"/>
      <c r="M2" s="8"/>
      <c r="N2" s="8"/>
      <c r="O2" s="8"/>
      <c r="P2" s="8"/>
      <c r="Q2" s="8"/>
    </row>
    <row r="3" spans="1:17" x14ac:dyDescent="0.25">
      <c r="A3" s="13" t="s">
        <v>3</v>
      </c>
      <c r="B3" s="1" t="s">
        <v>4</v>
      </c>
      <c r="C3" s="1" t="s">
        <v>5</v>
      </c>
      <c r="D3" s="1">
        <v>40</v>
      </c>
      <c r="E3" s="1">
        <v>27</v>
      </c>
      <c r="F3" s="1">
        <v>24</v>
      </c>
      <c r="G3" s="1">
        <v>91</v>
      </c>
      <c r="H3" s="1">
        <v>12614.06</v>
      </c>
      <c r="I3" s="1">
        <v>2023</v>
      </c>
      <c r="J3" s="1">
        <v>1410.7</v>
      </c>
      <c r="K3" s="8"/>
      <c r="L3" s="8"/>
      <c r="M3" s="8"/>
      <c r="N3" s="8"/>
      <c r="O3" s="8"/>
      <c r="P3" s="8"/>
      <c r="Q3" s="8"/>
    </row>
    <row r="4" spans="1:17" x14ac:dyDescent="0.25">
      <c r="A4" s="13" t="s">
        <v>6</v>
      </c>
      <c r="B4" s="1" t="s">
        <v>7</v>
      </c>
      <c r="C4" s="1" t="s">
        <v>5</v>
      </c>
      <c r="D4" s="1">
        <v>20</v>
      </c>
      <c r="E4" s="1">
        <v>12</v>
      </c>
      <c r="F4" s="1">
        <v>13</v>
      </c>
      <c r="G4" s="1">
        <v>45</v>
      </c>
      <c r="H4" s="1">
        <v>33834.39</v>
      </c>
      <c r="I4" s="1">
        <v>2023</v>
      </c>
      <c r="J4" s="1">
        <v>124.5</v>
      </c>
      <c r="K4" s="8"/>
      <c r="L4" s="8"/>
      <c r="M4" s="8"/>
      <c r="N4" s="8"/>
      <c r="O4" s="8"/>
      <c r="P4" s="8"/>
      <c r="Q4" s="8"/>
    </row>
    <row r="5" spans="1:17" x14ac:dyDescent="0.25">
      <c r="A5" s="13" t="s">
        <v>8</v>
      </c>
      <c r="B5" s="1" t="s">
        <v>9</v>
      </c>
      <c r="C5" s="1" t="s">
        <v>10</v>
      </c>
      <c r="D5" s="1">
        <v>18</v>
      </c>
      <c r="E5" s="1">
        <v>19</v>
      </c>
      <c r="F5" s="1">
        <v>16</v>
      </c>
      <c r="G5" s="1">
        <v>53</v>
      </c>
      <c r="H5" s="1">
        <v>64711.77</v>
      </c>
      <c r="I5" s="1">
        <v>2023</v>
      </c>
      <c r="J5" s="1">
        <v>26.6</v>
      </c>
      <c r="K5" s="8"/>
      <c r="L5" s="8"/>
      <c r="M5" s="8"/>
      <c r="N5" s="8"/>
      <c r="O5" s="8"/>
      <c r="P5" s="8"/>
      <c r="Q5" s="8"/>
    </row>
    <row r="6" spans="1:17" x14ac:dyDescent="0.25">
      <c r="A6" s="13" t="s">
        <v>11</v>
      </c>
      <c r="B6" s="1" t="s">
        <v>12</v>
      </c>
      <c r="C6" s="1" t="s">
        <v>13</v>
      </c>
      <c r="D6" s="1">
        <v>16</v>
      </c>
      <c r="E6" s="1">
        <v>26</v>
      </c>
      <c r="F6" s="1">
        <v>22</v>
      </c>
      <c r="G6" s="1">
        <v>64</v>
      </c>
      <c r="H6" s="1">
        <v>44460.82</v>
      </c>
      <c r="I6" s="1">
        <v>2023</v>
      </c>
      <c r="J6" s="1">
        <v>68.2</v>
      </c>
      <c r="K6" s="8"/>
      <c r="L6" s="8"/>
      <c r="M6" s="8"/>
      <c r="N6" s="8"/>
      <c r="O6" s="8"/>
      <c r="P6" s="8"/>
      <c r="Q6" s="8"/>
    </row>
    <row r="7" spans="1:17" x14ac:dyDescent="0.25">
      <c r="A7" s="13" t="s">
        <v>14</v>
      </c>
      <c r="B7" s="1" t="s">
        <v>15</v>
      </c>
      <c r="C7" s="1" t="s">
        <v>13</v>
      </c>
      <c r="D7" s="1">
        <v>15</v>
      </c>
      <c r="E7" s="1">
        <v>7</v>
      </c>
      <c r="F7" s="1">
        <v>12</v>
      </c>
      <c r="G7" s="1">
        <v>34</v>
      </c>
      <c r="H7" s="1">
        <v>62536.73</v>
      </c>
      <c r="I7" s="1">
        <v>2023</v>
      </c>
      <c r="J7" s="1">
        <v>17.899999999999999</v>
      </c>
      <c r="K7" s="8"/>
      <c r="L7" s="8"/>
      <c r="M7" s="8"/>
      <c r="N7" s="8"/>
      <c r="O7" s="8"/>
      <c r="P7" s="8"/>
      <c r="Q7" s="8"/>
    </row>
    <row r="8" spans="1:17" x14ac:dyDescent="0.25">
      <c r="A8" s="13" t="s">
        <v>16</v>
      </c>
      <c r="B8" s="1" t="s">
        <v>17</v>
      </c>
      <c r="C8" s="1" t="s">
        <v>13</v>
      </c>
      <c r="D8" s="1">
        <v>14</v>
      </c>
      <c r="E8" s="1">
        <v>22</v>
      </c>
      <c r="F8" s="1">
        <v>29</v>
      </c>
      <c r="G8" s="1">
        <v>65</v>
      </c>
      <c r="H8" s="1">
        <v>48866.6</v>
      </c>
      <c r="I8" s="1">
        <v>2023</v>
      </c>
      <c r="J8" s="1">
        <v>68.3</v>
      </c>
      <c r="K8" s="8"/>
      <c r="L8" s="8"/>
      <c r="M8" s="8"/>
      <c r="N8" s="8"/>
      <c r="O8" s="8"/>
      <c r="P8" s="8"/>
      <c r="Q8" s="8"/>
    </row>
    <row r="9" spans="1:17" x14ac:dyDescent="0.25">
      <c r="A9" s="13" t="s">
        <v>18</v>
      </c>
      <c r="B9" s="1" t="s">
        <v>19</v>
      </c>
      <c r="C9" s="1" t="s">
        <v>5</v>
      </c>
      <c r="D9" s="1">
        <v>13</v>
      </c>
      <c r="E9" s="1">
        <v>9</v>
      </c>
      <c r="F9" s="1">
        <v>10</v>
      </c>
      <c r="G9" s="1">
        <v>32</v>
      </c>
      <c r="H9" s="1">
        <v>33121.370000000003</v>
      </c>
      <c r="I9" s="1">
        <v>2023</v>
      </c>
      <c r="J9" s="1">
        <v>51.7</v>
      </c>
      <c r="K9" s="8"/>
      <c r="L9" s="8"/>
      <c r="M9" s="8"/>
      <c r="N9" s="8"/>
      <c r="O9" s="8"/>
      <c r="P9" s="8"/>
      <c r="Q9" s="8"/>
    </row>
    <row r="10" spans="1:17" x14ac:dyDescent="0.25">
      <c r="A10" s="13" t="s">
        <v>20</v>
      </c>
      <c r="B10" s="1" t="s">
        <v>21</v>
      </c>
      <c r="C10" s="1" t="s">
        <v>13</v>
      </c>
      <c r="D10" s="1">
        <v>12</v>
      </c>
      <c r="E10" s="1">
        <v>13</v>
      </c>
      <c r="F10" s="1">
        <v>15</v>
      </c>
      <c r="G10" s="1">
        <v>40</v>
      </c>
      <c r="H10" s="1">
        <v>38373.17</v>
      </c>
      <c r="I10" s="1">
        <v>2023</v>
      </c>
      <c r="J10" s="1">
        <v>58.8</v>
      </c>
      <c r="K10" s="8"/>
      <c r="L10" s="8"/>
      <c r="M10" s="8"/>
      <c r="N10" s="8"/>
      <c r="O10" s="8"/>
      <c r="P10" s="8"/>
      <c r="Q10" s="8"/>
    </row>
    <row r="11" spans="1:17" x14ac:dyDescent="0.25">
      <c r="A11" s="13" t="s">
        <v>22</v>
      </c>
      <c r="B11" s="1" t="s">
        <v>23</v>
      </c>
      <c r="C11" s="1" t="s">
        <v>13</v>
      </c>
      <c r="D11" s="1">
        <v>12</v>
      </c>
      <c r="E11" s="1">
        <v>13</v>
      </c>
      <c r="F11" s="1">
        <v>8</v>
      </c>
      <c r="G11" s="1">
        <v>33</v>
      </c>
      <c r="H11" s="1">
        <v>52745.760000000002</v>
      </c>
      <c r="I11" s="1">
        <v>2023</v>
      </c>
      <c r="J11" s="1">
        <v>84.5</v>
      </c>
      <c r="K11" s="8"/>
      <c r="L11" s="8"/>
      <c r="M11" s="8"/>
      <c r="N11" s="8"/>
      <c r="O11" s="8"/>
      <c r="P11" s="8"/>
      <c r="Q11" s="8"/>
    </row>
    <row r="12" spans="1:17" x14ac:dyDescent="0.25">
      <c r="A12" s="13" t="s">
        <v>24</v>
      </c>
      <c r="B12" s="1" t="s">
        <v>25</v>
      </c>
      <c r="C12" s="1" t="s">
        <v>10</v>
      </c>
      <c r="D12" s="1">
        <v>10</v>
      </c>
      <c r="E12" s="1">
        <v>7</v>
      </c>
      <c r="F12" s="1">
        <v>3</v>
      </c>
      <c r="G12" s="1">
        <v>20</v>
      </c>
      <c r="H12" s="1">
        <v>48527.83</v>
      </c>
      <c r="I12" s="1">
        <v>2023</v>
      </c>
      <c r="J12" s="1">
        <v>5.2</v>
      </c>
      <c r="K12" s="8"/>
      <c r="L12" s="8"/>
      <c r="M12" s="8"/>
      <c r="N12" s="8"/>
      <c r="O12" s="8"/>
      <c r="P12" s="8"/>
      <c r="Q12" s="8"/>
    </row>
    <row r="13" spans="1:17" x14ac:dyDescent="0.25">
      <c r="A13" s="13" t="s">
        <v>26</v>
      </c>
      <c r="B13" s="1" t="s">
        <v>27</v>
      </c>
      <c r="C13" s="1" t="s">
        <v>2</v>
      </c>
      <c r="D13" s="1">
        <v>9</v>
      </c>
      <c r="E13" s="1">
        <v>7</v>
      </c>
      <c r="F13" s="1">
        <v>11</v>
      </c>
      <c r="G13" s="1">
        <v>27</v>
      </c>
      <c r="H13" s="1">
        <v>53371.7</v>
      </c>
      <c r="I13" s="1">
        <v>2023</v>
      </c>
      <c r="J13" s="1">
        <v>40.1</v>
      </c>
      <c r="K13" s="8"/>
      <c r="L13" s="8"/>
      <c r="M13" s="8"/>
      <c r="N13" s="8"/>
      <c r="O13" s="8"/>
      <c r="P13" s="8"/>
      <c r="Q13" s="8"/>
    </row>
    <row r="14" spans="1:17" x14ac:dyDescent="0.25">
      <c r="A14" s="13" t="s">
        <v>28</v>
      </c>
      <c r="B14" s="1" t="s">
        <v>29</v>
      </c>
      <c r="C14" s="1" t="s">
        <v>5</v>
      </c>
      <c r="D14" s="1">
        <v>8</v>
      </c>
      <c r="E14" s="1">
        <v>2</v>
      </c>
      <c r="F14" s="1">
        <v>3</v>
      </c>
      <c r="G14" s="1">
        <v>13</v>
      </c>
      <c r="H14" s="1">
        <v>2496.11</v>
      </c>
      <c r="I14" s="1">
        <v>2023</v>
      </c>
      <c r="J14" s="1">
        <v>36.4</v>
      </c>
      <c r="K14" s="8"/>
      <c r="L14" s="8"/>
      <c r="M14" s="8"/>
      <c r="N14" s="8"/>
      <c r="O14" s="8"/>
      <c r="P14" s="8"/>
      <c r="Q14" s="8"/>
    </row>
    <row r="15" spans="1:17" x14ac:dyDescent="0.25">
      <c r="A15" s="13" t="s">
        <v>30</v>
      </c>
      <c r="B15" s="1" t="s">
        <v>31</v>
      </c>
      <c r="C15" s="1" t="s">
        <v>13</v>
      </c>
      <c r="D15" s="1">
        <v>6</v>
      </c>
      <c r="E15" s="1">
        <v>7</v>
      </c>
      <c r="F15" s="1">
        <v>6</v>
      </c>
      <c r="G15" s="1">
        <v>19</v>
      </c>
      <c r="H15" s="1">
        <v>22147.21</v>
      </c>
      <c r="I15" s="1">
        <v>2023</v>
      </c>
      <c r="J15" s="1">
        <v>9.6</v>
      </c>
      <c r="K15" s="8"/>
      <c r="L15" s="8"/>
      <c r="M15" s="8"/>
      <c r="N15" s="8"/>
      <c r="O15" s="8"/>
      <c r="P15" s="8"/>
      <c r="Q15" s="8"/>
    </row>
    <row r="16" spans="1:17" x14ac:dyDescent="0.25">
      <c r="A16" s="13" t="s">
        <v>32</v>
      </c>
      <c r="B16" s="1" t="s">
        <v>33</v>
      </c>
      <c r="C16" s="1" t="s">
        <v>13</v>
      </c>
      <c r="D16" s="1">
        <v>5</v>
      </c>
      <c r="E16" s="1">
        <v>4</v>
      </c>
      <c r="F16" s="1">
        <v>9</v>
      </c>
      <c r="G16" s="1">
        <v>18</v>
      </c>
      <c r="H16" s="1">
        <v>32676.98</v>
      </c>
      <c r="I16" s="1">
        <v>2023</v>
      </c>
      <c r="J16" s="1">
        <v>48.4</v>
      </c>
      <c r="K16" s="8"/>
      <c r="L16" s="8"/>
      <c r="M16" s="8"/>
      <c r="N16" s="8"/>
      <c r="O16" s="8"/>
      <c r="P16" s="8"/>
      <c r="Q16" s="8"/>
    </row>
    <row r="17" spans="1:17" x14ac:dyDescent="0.25">
      <c r="A17" s="13" t="s">
        <v>34</v>
      </c>
      <c r="B17" s="1" t="s">
        <v>35</v>
      </c>
      <c r="C17" s="1" t="s">
        <v>13</v>
      </c>
      <c r="D17" s="1">
        <v>4</v>
      </c>
      <c r="E17" s="1">
        <v>4</v>
      </c>
      <c r="F17" s="1">
        <v>3</v>
      </c>
      <c r="G17" s="1">
        <v>11</v>
      </c>
      <c r="H17" s="1">
        <v>56305.25</v>
      </c>
      <c r="I17" s="1">
        <v>2023</v>
      </c>
      <c r="J17" s="1">
        <v>10.5</v>
      </c>
      <c r="K17" s="8"/>
      <c r="L17" s="8"/>
      <c r="M17" s="8"/>
      <c r="N17" s="8"/>
      <c r="O17" s="8"/>
      <c r="P17" s="8"/>
      <c r="Q17" s="8"/>
    </row>
    <row r="18" spans="1:17" x14ac:dyDescent="0.25">
      <c r="A18" s="13" t="s">
        <v>36</v>
      </c>
      <c r="B18" s="1" t="s">
        <v>37</v>
      </c>
      <c r="C18" s="1" t="s">
        <v>38</v>
      </c>
      <c r="D18" s="1">
        <v>4</v>
      </c>
      <c r="E18" s="1">
        <v>2</v>
      </c>
      <c r="F18" s="1">
        <v>5</v>
      </c>
      <c r="G18" s="1">
        <v>11</v>
      </c>
      <c r="H18" s="1">
        <v>1949.9</v>
      </c>
      <c r="I18" s="1">
        <v>2023</v>
      </c>
      <c r="J18" s="1">
        <v>55.1</v>
      </c>
      <c r="K18" s="8"/>
      <c r="L18" s="8"/>
      <c r="M18" s="8"/>
      <c r="N18" s="8"/>
      <c r="O18" s="8"/>
      <c r="P18" s="8"/>
      <c r="Q18" s="8"/>
    </row>
    <row r="19" spans="1:17" x14ac:dyDescent="0.25">
      <c r="A19" s="13" t="s">
        <v>39</v>
      </c>
      <c r="B19" s="1" t="s">
        <v>40</v>
      </c>
      <c r="C19" s="1" t="s">
        <v>13</v>
      </c>
      <c r="D19" s="1">
        <v>4</v>
      </c>
      <c r="E19" s="1">
        <v>1</v>
      </c>
      <c r="F19" s="1">
        <v>3</v>
      </c>
      <c r="G19" s="1">
        <v>8</v>
      </c>
      <c r="H19" s="1">
        <v>87961.78</v>
      </c>
      <c r="I19" s="1">
        <v>2023</v>
      </c>
      <c r="J19" s="1">
        <v>5.5</v>
      </c>
      <c r="K19" s="8"/>
      <c r="L19" s="8"/>
      <c r="M19" s="8"/>
      <c r="N19" s="8"/>
      <c r="O19" s="8"/>
      <c r="P19" s="8"/>
      <c r="Q19" s="8"/>
    </row>
    <row r="20" spans="1:17" x14ac:dyDescent="0.25">
      <c r="A20" s="13" t="s">
        <v>41</v>
      </c>
      <c r="B20" s="1" t="s">
        <v>42</v>
      </c>
      <c r="C20" s="1" t="s">
        <v>13</v>
      </c>
      <c r="D20" s="1">
        <v>4</v>
      </c>
      <c r="E20" s="1">
        <v>0</v>
      </c>
      <c r="F20" s="1">
        <v>3</v>
      </c>
      <c r="G20" s="1">
        <v>7</v>
      </c>
      <c r="H20" s="1">
        <v>103684.88</v>
      </c>
      <c r="I20" s="1">
        <v>2023</v>
      </c>
      <c r="J20" s="1">
        <v>5.3</v>
      </c>
      <c r="K20" s="8"/>
      <c r="L20" s="8"/>
      <c r="M20" s="8"/>
      <c r="N20" s="8"/>
      <c r="O20" s="8"/>
      <c r="P20" s="8"/>
      <c r="Q20" s="8"/>
    </row>
    <row r="21" spans="1:17" x14ac:dyDescent="0.25">
      <c r="A21" s="13" t="s">
        <v>43</v>
      </c>
      <c r="B21" s="1" t="s">
        <v>44</v>
      </c>
      <c r="C21" s="1" t="s">
        <v>45</v>
      </c>
      <c r="D21" s="1">
        <v>3</v>
      </c>
      <c r="E21" s="1">
        <v>7</v>
      </c>
      <c r="F21" s="1">
        <v>10</v>
      </c>
      <c r="G21" s="1">
        <v>20</v>
      </c>
      <c r="H21" s="1">
        <v>10043.620000000001</v>
      </c>
      <c r="I21" s="1">
        <v>2023</v>
      </c>
      <c r="J21" s="1">
        <v>216.4</v>
      </c>
      <c r="K21" s="8"/>
      <c r="L21" s="8"/>
      <c r="M21" s="8"/>
      <c r="N21" s="8"/>
      <c r="O21" s="8"/>
      <c r="P21" s="8"/>
      <c r="Q21" s="8"/>
    </row>
    <row r="22" spans="1:17" x14ac:dyDescent="0.25">
      <c r="A22" s="13" t="s">
        <v>46</v>
      </c>
      <c r="B22" s="1" t="s">
        <v>47</v>
      </c>
      <c r="C22" s="1" t="s">
        <v>5</v>
      </c>
      <c r="D22" s="1">
        <v>3</v>
      </c>
      <c r="E22" s="1">
        <v>6</v>
      </c>
      <c r="F22" s="1">
        <v>3</v>
      </c>
      <c r="G22" s="1">
        <v>12</v>
      </c>
      <c r="H22" s="1">
        <v>4502.55</v>
      </c>
      <c r="I22" s="1">
        <v>2023</v>
      </c>
      <c r="J22" s="1">
        <v>89.2</v>
      </c>
      <c r="K22" s="8"/>
      <c r="L22" s="8"/>
      <c r="M22" s="8"/>
      <c r="N22" s="8"/>
      <c r="O22" s="8"/>
      <c r="P22" s="8"/>
      <c r="Q22" s="8"/>
    </row>
    <row r="23" spans="1:17" x14ac:dyDescent="0.25">
      <c r="A23" s="13" t="s">
        <v>48</v>
      </c>
      <c r="B23" s="1" t="s">
        <v>49</v>
      </c>
      <c r="C23" s="1" t="s">
        <v>13</v>
      </c>
      <c r="D23" s="1">
        <v>3</v>
      </c>
      <c r="E23" s="1">
        <v>5</v>
      </c>
      <c r="F23" s="1">
        <v>4</v>
      </c>
      <c r="G23" s="1">
        <v>12</v>
      </c>
      <c r="H23" s="1">
        <v>5181.3599999999997</v>
      </c>
      <c r="I23" s="1">
        <v>2023</v>
      </c>
      <c r="J23" s="1">
        <v>37</v>
      </c>
      <c r="K23" s="8"/>
      <c r="L23" s="8"/>
      <c r="M23" s="8"/>
      <c r="N23" s="8"/>
      <c r="O23" s="8"/>
      <c r="P23" s="8"/>
      <c r="Q23" s="8"/>
    </row>
    <row r="24" spans="1:17" x14ac:dyDescent="0.25">
      <c r="A24" s="13" t="s">
        <v>50</v>
      </c>
      <c r="B24" s="1" t="s">
        <v>51</v>
      </c>
      <c r="C24" s="1" t="s">
        <v>13</v>
      </c>
      <c r="D24" s="1">
        <v>3</v>
      </c>
      <c r="E24" s="1">
        <v>4</v>
      </c>
      <c r="F24" s="1">
        <v>2</v>
      </c>
      <c r="G24" s="1">
        <v>9</v>
      </c>
      <c r="H24" s="1">
        <v>18419.419999999998</v>
      </c>
      <c r="I24" s="1">
        <v>2023</v>
      </c>
      <c r="J24" s="1">
        <v>19.100000000000001</v>
      </c>
      <c r="K24" s="8"/>
      <c r="L24" s="8"/>
      <c r="M24" s="8"/>
      <c r="N24" s="8"/>
      <c r="O24" s="8"/>
      <c r="P24" s="8"/>
      <c r="Q24" s="8"/>
    </row>
    <row r="25" spans="1:17" x14ac:dyDescent="0.25">
      <c r="A25" s="13" t="s">
        <v>52</v>
      </c>
      <c r="B25" s="1" t="s">
        <v>53</v>
      </c>
      <c r="C25" s="1" t="s">
        <v>13</v>
      </c>
      <c r="D25" s="1">
        <v>3</v>
      </c>
      <c r="E25" s="1">
        <v>3</v>
      </c>
      <c r="F25" s="1">
        <v>1</v>
      </c>
      <c r="G25" s="1">
        <v>7</v>
      </c>
      <c r="H25" s="1">
        <v>8120.36</v>
      </c>
      <c r="I25" s="1">
        <v>2023</v>
      </c>
      <c r="J25" s="1">
        <v>3.8</v>
      </c>
      <c r="K25" s="8"/>
      <c r="L25" s="8"/>
      <c r="M25" s="8"/>
      <c r="N25" s="8"/>
      <c r="O25" s="8"/>
      <c r="P25" s="8"/>
      <c r="Q25" s="8"/>
    </row>
    <row r="26" spans="1:17" x14ac:dyDescent="0.25">
      <c r="A26" s="13" t="s">
        <v>54</v>
      </c>
      <c r="B26" s="1" t="s">
        <v>55</v>
      </c>
      <c r="C26" s="1" t="s">
        <v>13</v>
      </c>
      <c r="D26" s="1">
        <v>3</v>
      </c>
      <c r="E26" s="1">
        <v>1</v>
      </c>
      <c r="F26" s="1">
        <v>6</v>
      </c>
      <c r="G26" s="1">
        <v>10</v>
      </c>
      <c r="H26" s="1">
        <v>53475.29</v>
      </c>
      <c r="I26" s="1">
        <v>2023</v>
      </c>
      <c r="J26" s="1">
        <v>11.8</v>
      </c>
      <c r="K26" s="8"/>
      <c r="L26" s="8"/>
      <c r="M26" s="8"/>
      <c r="N26" s="8"/>
      <c r="O26" s="8"/>
      <c r="P26" s="8"/>
      <c r="Q26" s="8"/>
    </row>
    <row r="27" spans="1:17" x14ac:dyDescent="0.25">
      <c r="A27" s="13" t="s">
        <v>56</v>
      </c>
      <c r="B27" s="1" t="s">
        <v>57</v>
      </c>
      <c r="C27" s="1" t="s">
        <v>13</v>
      </c>
      <c r="D27" s="1">
        <v>3</v>
      </c>
      <c r="E27" s="1">
        <v>1</v>
      </c>
      <c r="F27" s="1">
        <v>3</v>
      </c>
      <c r="G27" s="1">
        <v>7</v>
      </c>
      <c r="H27" s="1">
        <v>15797.6</v>
      </c>
      <c r="I27" s="1">
        <v>2023</v>
      </c>
      <c r="J27" s="1">
        <v>6.4</v>
      </c>
      <c r="K27" s="8"/>
      <c r="L27" s="8"/>
      <c r="M27" s="8"/>
      <c r="N27" s="8"/>
      <c r="O27" s="8"/>
      <c r="P27" s="8"/>
      <c r="Q27" s="8"/>
    </row>
    <row r="28" spans="1:17" x14ac:dyDescent="0.25">
      <c r="A28" s="13" t="s">
        <v>58</v>
      </c>
      <c r="B28" s="1" t="s">
        <v>59</v>
      </c>
      <c r="C28" s="1" t="s">
        <v>13</v>
      </c>
      <c r="D28" s="1">
        <v>3</v>
      </c>
      <c r="E28" s="1">
        <v>1</v>
      </c>
      <c r="F28" s="1">
        <v>1</v>
      </c>
      <c r="G28" s="1">
        <v>5</v>
      </c>
      <c r="H28" s="1">
        <v>11360.96</v>
      </c>
      <c r="I28" s="1">
        <v>2023</v>
      </c>
      <c r="J28" s="1">
        <v>6.6</v>
      </c>
      <c r="K28" s="8"/>
      <c r="L28" s="8"/>
      <c r="M28" s="8"/>
      <c r="N28" s="8"/>
      <c r="O28" s="8"/>
      <c r="P28" s="8"/>
      <c r="Q28" s="8"/>
    </row>
    <row r="29" spans="1:17" x14ac:dyDescent="0.25">
      <c r="A29" s="13" t="s">
        <v>60</v>
      </c>
      <c r="B29" s="1" t="s">
        <v>61</v>
      </c>
      <c r="C29" s="1" t="s">
        <v>13</v>
      </c>
      <c r="D29" s="1">
        <v>3</v>
      </c>
      <c r="E29" s="1">
        <v>0</v>
      </c>
      <c r="F29" s="1">
        <v>2</v>
      </c>
      <c r="G29" s="1">
        <v>5</v>
      </c>
      <c r="H29" s="1">
        <v>30427.42</v>
      </c>
      <c r="I29" s="1">
        <v>2023</v>
      </c>
      <c r="J29" s="1">
        <v>10.9</v>
      </c>
      <c r="K29" s="8"/>
      <c r="L29" s="8"/>
      <c r="M29" s="8"/>
      <c r="N29" s="8"/>
      <c r="O29" s="8"/>
      <c r="P29" s="8"/>
      <c r="Q29" s="8"/>
    </row>
    <row r="30" spans="1:17" x14ac:dyDescent="0.25">
      <c r="A30" s="13" t="s">
        <v>62</v>
      </c>
      <c r="B30" s="1" t="s">
        <v>63</v>
      </c>
      <c r="C30" s="1" t="s">
        <v>13</v>
      </c>
      <c r="D30" s="1">
        <v>2</v>
      </c>
      <c r="E30" s="1">
        <v>2</v>
      </c>
      <c r="F30" s="1">
        <v>5</v>
      </c>
      <c r="G30" s="1">
        <v>9</v>
      </c>
      <c r="H30" s="1">
        <v>67967.38</v>
      </c>
      <c r="I30" s="1">
        <v>2023</v>
      </c>
      <c r="J30" s="1">
        <v>5.9</v>
      </c>
      <c r="K30" s="8"/>
      <c r="L30" s="8"/>
      <c r="M30" s="8"/>
      <c r="N30" s="8"/>
      <c r="O30" s="8"/>
      <c r="P30" s="8"/>
      <c r="Q30" s="8"/>
    </row>
    <row r="31" spans="1:17" x14ac:dyDescent="0.25">
      <c r="A31" s="13" t="s">
        <v>64</v>
      </c>
      <c r="B31" s="1" t="s">
        <v>65</v>
      </c>
      <c r="C31" s="1" t="s">
        <v>5</v>
      </c>
      <c r="D31" s="1">
        <v>2</v>
      </c>
      <c r="E31" s="1">
        <v>2</v>
      </c>
      <c r="F31" s="1">
        <v>3</v>
      </c>
      <c r="G31" s="1">
        <v>7</v>
      </c>
      <c r="H31" s="1">
        <v>7155.08</v>
      </c>
      <c r="I31" s="1">
        <v>2023</v>
      </c>
      <c r="J31" s="1">
        <v>10.1</v>
      </c>
      <c r="K31" s="8"/>
      <c r="L31" s="8"/>
      <c r="M31" s="8"/>
      <c r="N31" s="8"/>
      <c r="O31" s="8"/>
      <c r="P31" s="8"/>
      <c r="Q31" s="8"/>
    </row>
    <row r="32" spans="1:17" x14ac:dyDescent="0.25">
      <c r="A32" s="13" t="s">
        <v>66</v>
      </c>
      <c r="B32" s="1" t="s">
        <v>67</v>
      </c>
      <c r="C32" s="1" t="s">
        <v>13</v>
      </c>
      <c r="D32" s="1">
        <v>2</v>
      </c>
      <c r="E32" s="1">
        <v>2</v>
      </c>
      <c r="F32" s="1">
        <v>3</v>
      </c>
      <c r="G32" s="1">
        <v>7</v>
      </c>
      <c r="H32" s="1">
        <v>21459.78</v>
      </c>
      <c r="I32" s="1">
        <v>2023</v>
      </c>
      <c r="J32" s="1">
        <v>3.9</v>
      </c>
      <c r="K32" s="8"/>
      <c r="L32" s="8"/>
      <c r="M32" s="8"/>
      <c r="N32" s="8"/>
      <c r="O32" s="8"/>
      <c r="P32" s="8"/>
      <c r="Q32" s="8"/>
    </row>
    <row r="33" spans="1:17" x14ac:dyDescent="0.25">
      <c r="A33" s="13" t="s">
        <v>68</v>
      </c>
      <c r="B33" s="1" t="s">
        <v>69</v>
      </c>
      <c r="C33" s="1" t="s">
        <v>2</v>
      </c>
      <c r="D33" s="1">
        <v>2</v>
      </c>
      <c r="E33" s="1">
        <v>1</v>
      </c>
      <c r="F33" s="1">
        <v>6</v>
      </c>
      <c r="G33" s="1">
        <v>9</v>
      </c>
      <c r="H33" s="1">
        <v>56495.85</v>
      </c>
      <c r="I33" s="1">
        <v>2022</v>
      </c>
      <c r="J33" s="1">
        <v>11.2</v>
      </c>
      <c r="K33" s="8"/>
      <c r="L33" s="8"/>
      <c r="M33" s="8"/>
      <c r="N33" s="8"/>
      <c r="O33" s="8"/>
      <c r="P33" s="8"/>
      <c r="Q33" s="8"/>
    </row>
    <row r="34" spans="1:17" x14ac:dyDescent="0.25">
      <c r="A34" s="13" t="s">
        <v>70</v>
      </c>
      <c r="B34" s="1" t="s">
        <v>71</v>
      </c>
      <c r="C34" s="1" t="s">
        <v>5</v>
      </c>
      <c r="D34" s="1">
        <v>2</v>
      </c>
      <c r="E34" s="1">
        <v>1</v>
      </c>
      <c r="F34" s="1">
        <v>1</v>
      </c>
      <c r="G34" s="1">
        <v>4</v>
      </c>
      <c r="H34" s="1">
        <v>29084.31</v>
      </c>
      <c r="I34" s="1">
        <v>2023</v>
      </c>
      <c r="J34" s="1">
        <v>1.5</v>
      </c>
      <c r="K34" s="8"/>
      <c r="L34" s="8"/>
      <c r="M34" s="8"/>
      <c r="N34" s="8"/>
      <c r="O34" s="8"/>
      <c r="P34" s="8"/>
      <c r="Q34" s="8"/>
    </row>
    <row r="35" spans="1:17" x14ac:dyDescent="0.25">
      <c r="A35" s="13" t="s">
        <v>72</v>
      </c>
      <c r="B35" s="1" t="s">
        <v>73</v>
      </c>
      <c r="C35" s="1" t="s">
        <v>13</v>
      </c>
      <c r="D35" s="1">
        <v>2</v>
      </c>
      <c r="E35" s="1">
        <v>1</v>
      </c>
      <c r="F35" s="1">
        <v>0</v>
      </c>
      <c r="G35" s="1">
        <v>3</v>
      </c>
      <c r="H35" s="1">
        <v>32163.51</v>
      </c>
      <c r="I35" s="1">
        <v>2023</v>
      </c>
      <c r="J35" s="1">
        <v>2.1</v>
      </c>
      <c r="K35" s="8"/>
      <c r="L35" s="8"/>
      <c r="M35" s="8"/>
      <c r="N35" s="8"/>
      <c r="O35" s="8"/>
      <c r="P35" s="8"/>
      <c r="Q35" s="8"/>
    </row>
    <row r="36" spans="1:17" x14ac:dyDescent="0.25">
      <c r="A36" s="13" t="s">
        <v>74</v>
      </c>
      <c r="B36" s="1" t="s">
        <v>75</v>
      </c>
      <c r="C36" s="1" t="s">
        <v>5</v>
      </c>
      <c r="D36" s="1">
        <v>2</v>
      </c>
      <c r="E36" s="1">
        <v>0</v>
      </c>
      <c r="F36" s="1">
        <v>5</v>
      </c>
      <c r="G36" s="1">
        <v>7</v>
      </c>
      <c r="H36" s="1">
        <v>32443.71</v>
      </c>
      <c r="I36" s="1">
        <v>2023</v>
      </c>
      <c r="J36" s="1">
        <v>23.2</v>
      </c>
      <c r="K36" s="8"/>
      <c r="L36" s="8"/>
      <c r="M36" s="8"/>
      <c r="N36" s="8"/>
      <c r="O36" s="8"/>
      <c r="P36" s="8"/>
      <c r="Q36" s="8"/>
    </row>
    <row r="37" spans="1:17" x14ac:dyDescent="0.25">
      <c r="A37" s="13" t="s">
        <v>76</v>
      </c>
      <c r="B37" s="1" t="s">
        <v>77</v>
      </c>
      <c r="C37" s="1" t="s">
        <v>13</v>
      </c>
      <c r="D37" s="1">
        <v>2</v>
      </c>
      <c r="E37" s="1">
        <v>0</v>
      </c>
      <c r="F37" s="1">
        <v>3</v>
      </c>
      <c r="G37" s="1">
        <v>5</v>
      </c>
      <c r="H37" s="1">
        <v>56505.97</v>
      </c>
      <c r="I37" s="1">
        <v>2023</v>
      </c>
      <c r="J37" s="1">
        <v>9.1</v>
      </c>
      <c r="K37" s="8"/>
      <c r="L37" s="8"/>
      <c r="M37" s="8"/>
      <c r="N37" s="8"/>
      <c r="O37" s="8"/>
      <c r="P37" s="8"/>
      <c r="Q37" s="8"/>
    </row>
    <row r="38" spans="1:17" x14ac:dyDescent="0.25">
      <c r="A38" s="13" t="s">
        <v>78</v>
      </c>
      <c r="B38" s="1" t="s">
        <v>79</v>
      </c>
      <c r="C38" s="1" t="s">
        <v>5</v>
      </c>
      <c r="D38" s="1">
        <v>2</v>
      </c>
      <c r="E38" s="1">
        <v>0</v>
      </c>
      <c r="F38" s="1">
        <v>2</v>
      </c>
      <c r="G38" s="1">
        <v>4</v>
      </c>
      <c r="H38" s="1">
        <v>50696.59</v>
      </c>
      <c r="I38" s="1">
        <v>2023</v>
      </c>
      <c r="J38" s="1">
        <v>7.5</v>
      </c>
      <c r="K38" s="8"/>
      <c r="L38" s="8"/>
      <c r="M38" s="8"/>
      <c r="N38" s="8"/>
      <c r="O38" s="8"/>
      <c r="P38" s="8"/>
      <c r="Q38" s="8"/>
    </row>
    <row r="39" spans="1:17" x14ac:dyDescent="0.25">
      <c r="A39" s="13" t="s">
        <v>80</v>
      </c>
      <c r="B39" s="1" t="s">
        <v>81</v>
      </c>
      <c r="C39" s="1" t="s">
        <v>5</v>
      </c>
      <c r="D39" s="1">
        <v>2</v>
      </c>
      <c r="E39" s="1">
        <v>0</v>
      </c>
      <c r="F39" s="1">
        <v>2</v>
      </c>
      <c r="G39" s="1">
        <v>4</v>
      </c>
      <c r="H39" s="1">
        <v>3725.55</v>
      </c>
      <c r="I39" s="1">
        <v>2023</v>
      </c>
      <c r="J39" s="1">
        <v>117.3</v>
      </c>
      <c r="K39" s="8"/>
      <c r="L39" s="8"/>
      <c r="M39" s="8"/>
      <c r="N39" s="8"/>
      <c r="O39" s="8"/>
      <c r="P39" s="8"/>
      <c r="Q39" s="8"/>
    </row>
    <row r="40" spans="1:17" x14ac:dyDescent="0.25">
      <c r="A40" s="13" t="s">
        <v>82</v>
      </c>
      <c r="B40" s="1" t="s">
        <v>83</v>
      </c>
      <c r="C40" s="1" t="s">
        <v>38</v>
      </c>
      <c r="D40" s="1">
        <v>2</v>
      </c>
      <c r="E40" s="1">
        <v>0</v>
      </c>
      <c r="F40" s="1">
        <v>1</v>
      </c>
      <c r="G40" s="1">
        <v>3</v>
      </c>
      <c r="H40" s="1">
        <v>5260.21</v>
      </c>
      <c r="I40" s="1">
        <v>2023</v>
      </c>
      <c r="J40" s="1">
        <v>45.6</v>
      </c>
      <c r="K40" s="8"/>
      <c r="L40" s="8"/>
      <c r="M40" s="8"/>
      <c r="N40" s="8"/>
      <c r="O40" s="8"/>
      <c r="P40" s="8"/>
      <c r="Q40" s="8"/>
    </row>
    <row r="41" spans="1:17" x14ac:dyDescent="0.25">
      <c r="A41" s="13" t="s">
        <v>84</v>
      </c>
      <c r="B41" s="1" t="s">
        <v>85</v>
      </c>
      <c r="C41" s="1" t="s">
        <v>5</v>
      </c>
      <c r="D41" s="1">
        <v>2</v>
      </c>
      <c r="E41" s="1">
        <v>0</v>
      </c>
      <c r="F41" s="1">
        <v>1</v>
      </c>
      <c r="G41" s="1">
        <v>3</v>
      </c>
      <c r="H41" s="1">
        <v>4940.55</v>
      </c>
      <c r="I41" s="1">
        <v>2023</v>
      </c>
      <c r="J41" s="1">
        <v>277.5</v>
      </c>
      <c r="K41" s="8"/>
      <c r="L41" s="8"/>
      <c r="M41" s="8"/>
      <c r="N41" s="8"/>
      <c r="O41" s="8"/>
      <c r="P41" s="8"/>
      <c r="Q41" s="8"/>
    </row>
    <row r="42" spans="1:17" x14ac:dyDescent="0.25">
      <c r="A42" s="13" t="s">
        <v>86</v>
      </c>
      <c r="B42" s="1" t="s">
        <v>87</v>
      </c>
      <c r="C42" s="1" t="s">
        <v>5</v>
      </c>
      <c r="D42" s="1">
        <v>1</v>
      </c>
      <c r="E42" s="1">
        <v>5</v>
      </c>
      <c r="F42" s="1">
        <v>1</v>
      </c>
      <c r="G42" s="1">
        <v>7</v>
      </c>
      <c r="H42" s="1">
        <v>52261.68</v>
      </c>
      <c r="I42" s="1">
        <v>2023</v>
      </c>
      <c r="J42" s="1">
        <v>9.8000000000000007</v>
      </c>
      <c r="K42" s="8"/>
      <c r="L42" s="8"/>
      <c r="M42" s="8"/>
      <c r="N42" s="8"/>
      <c r="O42" s="8"/>
      <c r="P42" s="8"/>
      <c r="Q42" s="8"/>
    </row>
    <row r="43" spans="1:17" x14ac:dyDescent="0.25">
      <c r="A43" s="13" t="s">
        <v>88</v>
      </c>
      <c r="B43" s="1" t="s">
        <v>89</v>
      </c>
      <c r="C43" s="1" t="s">
        <v>13</v>
      </c>
      <c r="D43" s="1">
        <v>1</v>
      </c>
      <c r="E43" s="1">
        <v>4</v>
      </c>
      <c r="F43" s="1">
        <v>5</v>
      </c>
      <c r="G43" s="1">
        <v>10</v>
      </c>
      <c r="H43" s="1">
        <v>22112.86</v>
      </c>
      <c r="I43" s="1">
        <v>2023</v>
      </c>
      <c r="J43" s="1">
        <v>36.700000000000003</v>
      </c>
      <c r="K43" s="8"/>
      <c r="L43" s="8"/>
      <c r="M43" s="8"/>
      <c r="N43" s="8"/>
      <c r="O43" s="8"/>
      <c r="P43" s="8"/>
      <c r="Q43" s="8"/>
    </row>
    <row r="44" spans="1:17" x14ac:dyDescent="0.25">
      <c r="A44" s="13" t="s">
        <v>90</v>
      </c>
      <c r="B44" s="1" t="s">
        <v>91</v>
      </c>
      <c r="C44" s="1" t="s">
        <v>5</v>
      </c>
      <c r="D44" s="1">
        <v>1</v>
      </c>
      <c r="E44" s="1">
        <v>3</v>
      </c>
      <c r="F44" s="1">
        <v>3</v>
      </c>
      <c r="G44" s="1">
        <v>7</v>
      </c>
      <c r="H44" s="1">
        <v>13136.62</v>
      </c>
      <c r="I44" s="1">
        <v>2023</v>
      </c>
      <c r="J44" s="1">
        <v>19.899999999999999</v>
      </c>
      <c r="K44" s="8"/>
      <c r="L44" s="8"/>
      <c r="M44" s="8"/>
      <c r="N44" s="8"/>
      <c r="O44" s="8"/>
      <c r="P44" s="8"/>
      <c r="Q44" s="8"/>
    </row>
    <row r="45" spans="1:17" x14ac:dyDescent="0.25">
      <c r="A45" s="13" t="s">
        <v>92</v>
      </c>
      <c r="B45" s="1" t="s">
        <v>93</v>
      </c>
      <c r="C45" s="1" t="s">
        <v>2</v>
      </c>
      <c r="D45" s="1">
        <v>1</v>
      </c>
      <c r="E45" s="1">
        <v>3</v>
      </c>
      <c r="F45" s="1">
        <v>2</v>
      </c>
      <c r="G45" s="1">
        <v>6</v>
      </c>
      <c r="H45" s="1">
        <v>6874.2</v>
      </c>
      <c r="I45" s="1">
        <v>2023</v>
      </c>
      <c r="J45" s="1">
        <v>2.8</v>
      </c>
      <c r="K45" s="8"/>
      <c r="L45" s="8"/>
      <c r="M45" s="8"/>
      <c r="N45" s="8"/>
      <c r="O45" s="8"/>
      <c r="P45" s="8"/>
      <c r="Q45" s="8"/>
    </row>
    <row r="46" spans="1:17" x14ac:dyDescent="0.25">
      <c r="A46" s="13" t="s">
        <v>94</v>
      </c>
      <c r="B46" s="1" t="s">
        <v>95</v>
      </c>
      <c r="C46" s="1" t="s">
        <v>38</v>
      </c>
      <c r="D46" s="1">
        <v>1</v>
      </c>
      <c r="E46" s="1">
        <v>3</v>
      </c>
      <c r="F46" s="1">
        <v>2</v>
      </c>
      <c r="G46" s="1">
        <v>6</v>
      </c>
      <c r="H46" s="1">
        <v>6253.16</v>
      </c>
      <c r="I46" s="1">
        <v>2023</v>
      </c>
      <c r="J46" s="1">
        <v>60.4</v>
      </c>
      <c r="K46" s="8"/>
      <c r="L46" s="8"/>
      <c r="M46" s="8"/>
      <c r="N46" s="8"/>
      <c r="O46" s="8"/>
      <c r="P46" s="8"/>
      <c r="Q46" s="8"/>
    </row>
    <row r="47" spans="1:17" x14ac:dyDescent="0.25">
      <c r="A47" s="13" t="s">
        <v>96</v>
      </c>
      <c r="B47" s="1" t="s">
        <v>97</v>
      </c>
      <c r="C47" s="1" t="s">
        <v>5</v>
      </c>
      <c r="D47" s="1">
        <v>1</v>
      </c>
      <c r="E47" s="1">
        <v>3</v>
      </c>
      <c r="F47" s="1">
        <v>2</v>
      </c>
      <c r="G47" s="1">
        <v>6</v>
      </c>
      <c r="H47" s="1">
        <v>7171.81</v>
      </c>
      <c r="I47" s="1">
        <v>2023</v>
      </c>
      <c r="J47" s="1">
        <v>71.8</v>
      </c>
      <c r="K47" s="8"/>
      <c r="L47" s="8"/>
      <c r="M47" s="8"/>
      <c r="N47" s="8"/>
      <c r="O47" s="8"/>
      <c r="P47" s="8"/>
      <c r="Q47" s="8"/>
    </row>
    <row r="48" spans="1:17" x14ac:dyDescent="0.25">
      <c r="A48" s="13" t="s">
        <v>98</v>
      </c>
      <c r="B48" s="1" t="s">
        <v>99</v>
      </c>
      <c r="C48" s="1" t="s">
        <v>38</v>
      </c>
      <c r="D48" s="1">
        <v>1</v>
      </c>
      <c r="E48" s="1">
        <v>3</v>
      </c>
      <c r="F48" s="1">
        <v>0</v>
      </c>
      <c r="G48" s="1">
        <v>4</v>
      </c>
      <c r="H48" s="1">
        <v>1293.78</v>
      </c>
      <c r="I48" s="1">
        <v>2023</v>
      </c>
      <c r="J48" s="1">
        <v>126.5</v>
      </c>
      <c r="K48" s="8"/>
      <c r="L48" s="8"/>
      <c r="M48" s="8"/>
      <c r="N48" s="8"/>
      <c r="O48" s="8"/>
      <c r="P48" s="8"/>
      <c r="Q48" s="8"/>
    </row>
    <row r="49" spans="1:17" x14ac:dyDescent="0.25">
      <c r="A49" s="13" t="s">
        <v>100</v>
      </c>
      <c r="B49" s="1" t="s">
        <v>101</v>
      </c>
      <c r="C49" s="1" t="s">
        <v>13</v>
      </c>
      <c r="D49" s="1">
        <v>1</v>
      </c>
      <c r="E49" s="1">
        <v>2</v>
      </c>
      <c r="F49" s="1">
        <v>5</v>
      </c>
      <c r="G49" s="1">
        <v>8</v>
      </c>
      <c r="H49" s="1">
        <v>99994.94</v>
      </c>
      <c r="I49" s="1">
        <v>2023</v>
      </c>
      <c r="J49" s="1">
        <v>8.8000000000000007</v>
      </c>
      <c r="K49" s="8"/>
      <c r="L49" s="8"/>
      <c r="M49" s="8"/>
      <c r="N49" s="8"/>
      <c r="O49" s="8"/>
      <c r="P49" s="8"/>
      <c r="Q49" s="8"/>
    </row>
    <row r="50" spans="1:17" x14ac:dyDescent="0.25">
      <c r="A50" s="13" t="s">
        <v>102</v>
      </c>
      <c r="B50" s="1" t="s">
        <v>103</v>
      </c>
      <c r="C50" s="1" t="s">
        <v>45</v>
      </c>
      <c r="D50" s="1">
        <v>1</v>
      </c>
      <c r="E50" s="1">
        <v>2</v>
      </c>
      <c r="F50" s="1">
        <v>2</v>
      </c>
      <c r="G50" s="1">
        <v>5</v>
      </c>
      <c r="H50" s="1">
        <v>6533.35</v>
      </c>
      <c r="I50" s="1">
        <v>2023</v>
      </c>
      <c r="J50" s="1">
        <v>18.2</v>
      </c>
      <c r="K50" s="8"/>
      <c r="L50" s="8"/>
      <c r="M50" s="8"/>
      <c r="N50" s="8"/>
      <c r="O50" s="8"/>
      <c r="P50" s="8"/>
      <c r="Q50" s="8"/>
    </row>
    <row r="51" spans="1:17" x14ac:dyDescent="0.25">
      <c r="A51" s="13" t="s">
        <v>104</v>
      </c>
      <c r="B51" s="1" t="s">
        <v>105</v>
      </c>
      <c r="C51" s="1" t="s">
        <v>13</v>
      </c>
      <c r="D51" s="1">
        <v>1</v>
      </c>
      <c r="E51" s="1">
        <v>2</v>
      </c>
      <c r="F51" s="1">
        <v>1</v>
      </c>
      <c r="G51" s="1">
        <v>4</v>
      </c>
      <c r="H51" s="1">
        <v>27275.11</v>
      </c>
      <c r="I51" s="1">
        <v>2023</v>
      </c>
      <c r="J51" s="1">
        <v>10.5</v>
      </c>
      <c r="K51" s="8"/>
      <c r="L51" s="8"/>
      <c r="M51" s="8"/>
      <c r="N51" s="8"/>
      <c r="O51" s="8"/>
      <c r="P51" s="8"/>
      <c r="Q51" s="8"/>
    </row>
    <row r="52" spans="1:17" x14ac:dyDescent="0.25">
      <c r="A52" s="13" t="s">
        <v>106</v>
      </c>
      <c r="B52" s="1" t="s">
        <v>107</v>
      </c>
      <c r="C52" s="1" t="s">
        <v>13</v>
      </c>
      <c r="D52" s="1">
        <v>1</v>
      </c>
      <c r="E52" s="1">
        <v>1</v>
      </c>
      <c r="F52" s="1">
        <v>6</v>
      </c>
      <c r="G52" s="1">
        <v>8</v>
      </c>
      <c r="H52" s="1">
        <v>22990.01</v>
      </c>
      <c r="I52" s="1">
        <v>2023</v>
      </c>
      <c r="J52" s="1">
        <v>10.4</v>
      </c>
      <c r="K52" s="8"/>
      <c r="L52" s="8"/>
      <c r="M52" s="8"/>
      <c r="N52" s="8"/>
      <c r="O52" s="8"/>
      <c r="P52" s="8"/>
      <c r="Q52" s="8"/>
    </row>
    <row r="53" spans="1:17" x14ac:dyDescent="0.25">
      <c r="A53" s="13" t="s">
        <v>108</v>
      </c>
      <c r="B53" s="1" t="s">
        <v>109</v>
      </c>
      <c r="C53" s="1" t="s">
        <v>45</v>
      </c>
      <c r="D53" s="1">
        <v>1</v>
      </c>
      <c r="E53" s="1">
        <v>1</v>
      </c>
      <c r="F53" s="1">
        <v>1</v>
      </c>
      <c r="G53" s="1">
        <v>3</v>
      </c>
      <c r="H53" s="1">
        <v>13730.51</v>
      </c>
      <c r="I53" s="1">
        <v>2023</v>
      </c>
      <c r="J53" s="1">
        <v>46.7</v>
      </c>
      <c r="K53" s="8"/>
      <c r="L53" s="8"/>
      <c r="M53" s="8"/>
      <c r="N53" s="8"/>
      <c r="O53" s="8"/>
      <c r="P53" s="8"/>
      <c r="Q53" s="8"/>
    </row>
    <row r="54" spans="1:17" x14ac:dyDescent="0.25">
      <c r="A54" s="13" t="s">
        <v>110</v>
      </c>
      <c r="B54" s="1" t="s">
        <v>111</v>
      </c>
      <c r="C54" s="1" t="s">
        <v>38</v>
      </c>
      <c r="D54" s="1">
        <v>1</v>
      </c>
      <c r="E54" s="1">
        <v>1</v>
      </c>
      <c r="F54" s="1">
        <v>1</v>
      </c>
      <c r="G54" s="1">
        <v>3</v>
      </c>
      <c r="H54" s="1">
        <v>3512.58</v>
      </c>
      <c r="I54" s="1">
        <v>2023</v>
      </c>
      <c r="J54" s="1">
        <v>112.7</v>
      </c>
      <c r="K54" s="8"/>
      <c r="L54" s="8"/>
      <c r="M54" s="8"/>
      <c r="N54" s="8"/>
      <c r="O54" s="8"/>
      <c r="P54" s="8"/>
      <c r="Q54" s="8"/>
    </row>
    <row r="55" spans="1:17" x14ac:dyDescent="0.25">
      <c r="A55" s="13" t="s">
        <v>112</v>
      </c>
      <c r="B55" s="1" t="s">
        <v>113</v>
      </c>
      <c r="C55" s="1" t="s">
        <v>38</v>
      </c>
      <c r="D55" s="1">
        <v>1</v>
      </c>
      <c r="E55" s="1">
        <v>1</v>
      </c>
      <c r="F55" s="1">
        <v>1</v>
      </c>
      <c r="G55" s="1">
        <v>3</v>
      </c>
      <c r="H55" s="1">
        <v>3895.39</v>
      </c>
      <c r="I55" s="1">
        <v>2023</v>
      </c>
      <c r="J55" s="1">
        <v>12.5</v>
      </c>
      <c r="K55" s="8"/>
      <c r="L55" s="8"/>
      <c r="M55" s="8"/>
      <c r="N55" s="8"/>
      <c r="O55" s="8"/>
      <c r="P55" s="8"/>
      <c r="Q55" s="8"/>
    </row>
    <row r="56" spans="1:17" x14ac:dyDescent="0.25">
      <c r="A56" s="13" t="s">
        <v>114</v>
      </c>
      <c r="B56" s="1" t="s">
        <v>115</v>
      </c>
      <c r="C56" s="1" t="s">
        <v>38</v>
      </c>
      <c r="D56" s="1">
        <v>1</v>
      </c>
      <c r="E56" s="1">
        <v>1</v>
      </c>
      <c r="F56" s="1">
        <v>0</v>
      </c>
      <c r="G56" s="1">
        <v>2</v>
      </c>
      <c r="H56" s="1">
        <v>7249.8</v>
      </c>
      <c r="I56" s="1">
        <v>2023</v>
      </c>
      <c r="J56" s="1">
        <v>2.7</v>
      </c>
      <c r="K56" s="8"/>
      <c r="L56" s="8"/>
      <c r="M56" s="8"/>
      <c r="N56" s="8"/>
      <c r="O56" s="8"/>
      <c r="P56" s="8"/>
      <c r="Q56" s="8"/>
    </row>
    <row r="57" spans="1:17" x14ac:dyDescent="0.25">
      <c r="A57" s="13" t="s">
        <v>116</v>
      </c>
      <c r="B57" s="1" t="s">
        <v>117</v>
      </c>
      <c r="C57" s="1" t="s">
        <v>45</v>
      </c>
      <c r="D57" s="1">
        <v>1</v>
      </c>
      <c r="E57" s="1">
        <v>1</v>
      </c>
      <c r="F57" s="1">
        <v>0</v>
      </c>
      <c r="G57" s="1">
        <v>2</v>
      </c>
      <c r="H57" s="1">
        <v>17093.240000000002</v>
      </c>
      <c r="I57" s="1">
        <v>2023</v>
      </c>
      <c r="J57" s="1">
        <v>19.600000000000001</v>
      </c>
      <c r="K57" s="8"/>
      <c r="L57" s="8"/>
      <c r="M57" s="8"/>
      <c r="N57" s="8"/>
      <c r="O57" s="8"/>
      <c r="P57" s="8"/>
      <c r="Q57" s="8"/>
    </row>
    <row r="58" spans="1:17" x14ac:dyDescent="0.25">
      <c r="A58" s="13" t="s">
        <v>118</v>
      </c>
      <c r="B58" s="1" t="s">
        <v>119</v>
      </c>
      <c r="C58" s="1" t="s">
        <v>120</v>
      </c>
      <c r="D58" s="1">
        <v>1</v>
      </c>
      <c r="E58" s="1">
        <v>1</v>
      </c>
      <c r="F58" s="1">
        <v>0</v>
      </c>
      <c r="G58" s="1">
        <v>2</v>
      </c>
      <c r="H58" s="1">
        <v>13980.09</v>
      </c>
      <c r="I58" s="1">
        <v>2023</v>
      </c>
      <c r="J58" s="1">
        <v>0.2</v>
      </c>
      <c r="K58" s="8"/>
      <c r="L58" s="8"/>
      <c r="M58" s="8"/>
      <c r="N58" s="8"/>
      <c r="O58" s="8"/>
      <c r="P58" s="8"/>
      <c r="Q58" s="8"/>
    </row>
    <row r="59" spans="1:17" x14ac:dyDescent="0.25">
      <c r="A59" s="13" t="s">
        <v>121</v>
      </c>
      <c r="B59" s="1" t="s">
        <v>122</v>
      </c>
      <c r="C59" s="1" t="s">
        <v>38</v>
      </c>
      <c r="D59" s="1">
        <v>1</v>
      </c>
      <c r="E59" s="1">
        <v>1</v>
      </c>
      <c r="F59" s="1">
        <v>0</v>
      </c>
      <c r="G59" s="1">
        <v>2</v>
      </c>
      <c r="H59" s="1">
        <v>1014.21</v>
      </c>
      <c r="I59" s="1">
        <v>2023</v>
      </c>
      <c r="J59" s="1">
        <v>48.6</v>
      </c>
      <c r="K59" s="8"/>
      <c r="L59" s="8"/>
      <c r="M59" s="8"/>
      <c r="N59" s="8"/>
      <c r="O59" s="8"/>
      <c r="P59" s="8"/>
      <c r="Q59" s="8"/>
    </row>
    <row r="60" spans="1:17" x14ac:dyDescent="0.25">
      <c r="A60" s="13" t="s">
        <v>123</v>
      </c>
      <c r="B60" s="1" t="s">
        <v>124</v>
      </c>
      <c r="C60" s="1" t="s">
        <v>2</v>
      </c>
      <c r="D60" s="1">
        <v>1</v>
      </c>
      <c r="E60" s="1">
        <v>0</v>
      </c>
      <c r="F60" s="1">
        <v>2</v>
      </c>
      <c r="G60" s="1">
        <v>3</v>
      </c>
      <c r="H60" s="1">
        <v>10716.01</v>
      </c>
      <c r="I60" s="1">
        <v>2023</v>
      </c>
      <c r="J60" s="1">
        <v>11.3</v>
      </c>
      <c r="K60" s="8"/>
      <c r="L60" s="8"/>
      <c r="M60" s="8"/>
      <c r="N60" s="8"/>
      <c r="O60" s="8"/>
      <c r="P60" s="8"/>
      <c r="Q60" s="8"/>
    </row>
    <row r="61" spans="1:17" x14ac:dyDescent="0.25">
      <c r="A61" s="13" t="s">
        <v>125</v>
      </c>
      <c r="B61" s="1" t="s">
        <v>126</v>
      </c>
      <c r="C61" s="1" t="s">
        <v>2</v>
      </c>
      <c r="D61" s="1">
        <v>1</v>
      </c>
      <c r="E61" s="1">
        <v>0</v>
      </c>
      <c r="F61" s="1">
        <v>1</v>
      </c>
      <c r="G61" s="1">
        <v>2</v>
      </c>
      <c r="H61" s="1">
        <v>5797.52</v>
      </c>
      <c r="I61" s="1">
        <v>2023</v>
      </c>
      <c r="J61" s="1">
        <v>17.600000000000001</v>
      </c>
      <c r="K61" s="8"/>
      <c r="L61" s="8"/>
      <c r="M61" s="8"/>
      <c r="N61" s="8"/>
      <c r="O61" s="8"/>
      <c r="P61" s="8"/>
      <c r="Q61" s="8"/>
    </row>
    <row r="62" spans="1:17" x14ac:dyDescent="0.25">
      <c r="A62" s="13" t="s">
        <v>127</v>
      </c>
      <c r="B62" s="1" t="s">
        <v>128</v>
      </c>
      <c r="C62" s="1" t="s">
        <v>38</v>
      </c>
      <c r="D62" s="1">
        <v>1</v>
      </c>
      <c r="E62" s="1">
        <v>0</v>
      </c>
      <c r="F62" s="1">
        <v>1</v>
      </c>
      <c r="G62" s="1">
        <v>2</v>
      </c>
      <c r="H62" s="1">
        <v>3672.11</v>
      </c>
      <c r="I62" s="1">
        <v>2023</v>
      </c>
      <c r="J62" s="1">
        <v>37.799999999999997</v>
      </c>
      <c r="K62" s="8"/>
      <c r="L62" s="8"/>
      <c r="M62" s="8"/>
      <c r="N62" s="8"/>
      <c r="O62" s="8"/>
      <c r="P62" s="8"/>
      <c r="Q62" s="8"/>
    </row>
    <row r="63" spans="1:17" x14ac:dyDescent="0.25">
      <c r="A63" s="13" t="s">
        <v>129</v>
      </c>
      <c r="B63" s="1" t="s">
        <v>130</v>
      </c>
      <c r="C63" s="1" t="s">
        <v>120</v>
      </c>
      <c r="D63" s="1">
        <v>1</v>
      </c>
      <c r="E63" s="1">
        <v>0</v>
      </c>
      <c r="F63" s="1">
        <v>0</v>
      </c>
      <c r="G63" s="1">
        <v>1</v>
      </c>
      <c r="H63" s="1">
        <v>8953.9</v>
      </c>
      <c r="I63" s="1">
        <v>2023</v>
      </c>
      <c r="J63" s="1">
        <v>0.1</v>
      </c>
      <c r="K63" s="8"/>
      <c r="L63" s="8"/>
      <c r="M63" s="8"/>
      <c r="N63" s="8"/>
      <c r="O63" s="8"/>
      <c r="P63" s="8"/>
      <c r="Q63" s="8"/>
    </row>
    <row r="64" spans="1:17" x14ac:dyDescent="0.25">
      <c r="A64" s="13" t="s">
        <v>131</v>
      </c>
      <c r="B64" s="1" t="s">
        <v>132</v>
      </c>
      <c r="C64" s="1" t="s">
        <v>5</v>
      </c>
      <c r="D64" s="1">
        <v>1</v>
      </c>
      <c r="E64" s="1">
        <v>0</v>
      </c>
      <c r="F64" s="1">
        <v>0</v>
      </c>
      <c r="G64" s="1">
        <v>1</v>
      </c>
      <c r="H64" s="1">
        <v>1407.02</v>
      </c>
      <c r="I64" s="1">
        <v>2023</v>
      </c>
      <c r="J64" s="1">
        <v>240.5</v>
      </c>
      <c r="K64" s="8"/>
      <c r="L64" s="8"/>
      <c r="M64" s="8"/>
      <c r="N64" s="8"/>
      <c r="O64" s="8"/>
      <c r="P64" s="8"/>
      <c r="Q64" s="8"/>
    </row>
    <row r="65" spans="1:17" x14ac:dyDescent="0.25">
      <c r="A65" s="13" t="s">
        <v>133</v>
      </c>
      <c r="B65" s="1" t="s">
        <v>134</v>
      </c>
      <c r="C65" s="1" t="s">
        <v>5</v>
      </c>
      <c r="D65" s="1">
        <v>0</v>
      </c>
      <c r="E65" s="1">
        <v>3</v>
      </c>
      <c r="F65" s="1">
        <v>5</v>
      </c>
      <c r="G65" s="1">
        <v>8</v>
      </c>
      <c r="H65" s="1">
        <v>12985.75</v>
      </c>
      <c r="I65" s="1">
        <v>2023</v>
      </c>
      <c r="J65" s="1">
        <v>85.3</v>
      </c>
      <c r="K65" s="8"/>
      <c r="L65" s="8"/>
      <c r="M65" s="8"/>
      <c r="N65" s="8"/>
      <c r="O65" s="8"/>
      <c r="P65" s="8"/>
      <c r="Q65" s="8"/>
    </row>
    <row r="66" spans="1:17" x14ac:dyDescent="0.25">
      <c r="A66" s="13" t="s">
        <v>135</v>
      </c>
      <c r="B66" s="1" t="s">
        <v>136</v>
      </c>
      <c r="C66" s="1" t="s">
        <v>2</v>
      </c>
      <c r="D66" s="1">
        <v>0</v>
      </c>
      <c r="E66" s="1">
        <v>3</v>
      </c>
      <c r="F66" s="1">
        <v>2</v>
      </c>
      <c r="G66" s="1">
        <v>5</v>
      </c>
      <c r="H66" s="1">
        <v>13926.11</v>
      </c>
      <c r="I66" s="1">
        <v>2023</v>
      </c>
      <c r="J66" s="1">
        <v>128.5</v>
      </c>
      <c r="K66" s="8"/>
      <c r="L66" s="8"/>
      <c r="M66" s="8"/>
      <c r="N66" s="8"/>
      <c r="O66" s="8"/>
      <c r="P66" s="8"/>
      <c r="Q66" s="8"/>
    </row>
    <row r="67" spans="1:17" x14ac:dyDescent="0.25">
      <c r="A67" s="13" t="s">
        <v>137</v>
      </c>
      <c r="B67" s="1" t="s">
        <v>138</v>
      </c>
      <c r="C67" s="1" t="s">
        <v>5</v>
      </c>
      <c r="D67" s="1">
        <v>0</v>
      </c>
      <c r="E67" s="1">
        <v>3</v>
      </c>
      <c r="F67" s="1">
        <v>1</v>
      </c>
      <c r="G67" s="1">
        <v>4</v>
      </c>
      <c r="H67" s="1">
        <v>8715.77</v>
      </c>
      <c r="I67" s="1">
        <v>2023</v>
      </c>
      <c r="J67" s="1">
        <v>2.8</v>
      </c>
      <c r="K67" s="8"/>
      <c r="L67" s="8"/>
      <c r="M67" s="8"/>
      <c r="N67" s="8"/>
      <c r="O67" s="8"/>
      <c r="P67" s="8"/>
      <c r="Q67" s="8"/>
    </row>
    <row r="68" spans="1:17" x14ac:dyDescent="0.25">
      <c r="A68" s="13" t="s">
        <v>139</v>
      </c>
      <c r="B68" s="1" t="s">
        <v>140</v>
      </c>
      <c r="C68" s="1" t="s">
        <v>45</v>
      </c>
      <c r="D68" s="1">
        <v>0</v>
      </c>
      <c r="E68" s="1">
        <v>3</v>
      </c>
      <c r="F68" s="1">
        <v>1</v>
      </c>
      <c r="G68" s="1">
        <v>4</v>
      </c>
      <c r="H68" s="1">
        <v>6979.73</v>
      </c>
      <c r="I68" s="1">
        <v>2023</v>
      </c>
      <c r="J68" s="1">
        <v>52.1</v>
      </c>
      <c r="K68" s="8"/>
      <c r="L68" s="8"/>
      <c r="M68" s="8"/>
      <c r="N68" s="8"/>
      <c r="O68" s="8"/>
      <c r="P68" s="8"/>
      <c r="Q68" s="8"/>
    </row>
    <row r="69" spans="1:17" x14ac:dyDescent="0.25">
      <c r="A69" s="13" t="s">
        <v>141</v>
      </c>
      <c r="B69" s="1" t="s">
        <v>142</v>
      </c>
      <c r="C69" s="1" t="s">
        <v>5</v>
      </c>
      <c r="D69" s="1">
        <v>0</v>
      </c>
      <c r="E69" s="1">
        <v>2</v>
      </c>
      <c r="F69" s="1">
        <v>4</v>
      </c>
      <c r="G69" s="1">
        <v>6</v>
      </c>
      <c r="H69" s="1">
        <v>1217</v>
      </c>
      <c r="I69" s="1">
        <v>2023</v>
      </c>
      <c r="J69" s="1">
        <v>26.2</v>
      </c>
      <c r="K69" s="8"/>
      <c r="L69" s="8"/>
      <c r="M69" s="8"/>
      <c r="N69" s="8"/>
      <c r="O69" s="8"/>
      <c r="P69" s="8"/>
      <c r="Q69" s="8"/>
    </row>
    <row r="70" spans="1:17" x14ac:dyDescent="0.25">
      <c r="A70" s="13" t="s">
        <v>143</v>
      </c>
      <c r="B70" s="1" t="s">
        <v>144</v>
      </c>
      <c r="C70" s="1" t="s">
        <v>5</v>
      </c>
      <c r="D70" s="1">
        <v>0</v>
      </c>
      <c r="E70" s="1">
        <v>2</v>
      </c>
      <c r="F70" s="1">
        <v>4</v>
      </c>
      <c r="G70" s="1">
        <v>6</v>
      </c>
      <c r="H70" s="1">
        <v>1969.87</v>
      </c>
      <c r="I70" s="1">
        <v>2023</v>
      </c>
      <c r="J70" s="1">
        <v>7.1</v>
      </c>
      <c r="K70" s="8"/>
      <c r="L70" s="8"/>
      <c r="M70" s="8"/>
      <c r="N70" s="8"/>
      <c r="O70" s="8"/>
      <c r="P70" s="8"/>
      <c r="Q70" s="8"/>
    </row>
    <row r="71" spans="1:17" x14ac:dyDescent="0.25">
      <c r="A71" s="13" t="s">
        <v>145</v>
      </c>
      <c r="B71" s="1" t="s">
        <v>146</v>
      </c>
      <c r="C71" s="1" t="s">
        <v>13</v>
      </c>
      <c r="D71" s="1">
        <v>0</v>
      </c>
      <c r="E71" s="1">
        <v>2</v>
      </c>
      <c r="F71" s="1">
        <v>2</v>
      </c>
      <c r="G71" s="1">
        <v>4</v>
      </c>
      <c r="H71" s="1">
        <v>27102.78</v>
      </c>
      <c r="I71" s="1">
        <v>2023</v>
      </c>
      <c r="J71" s="1">
        <v>2.9</v>
      </c>
      <c r="K71" s="8"/>
      <c r="L71" s="8"/>
      <c r="M71" s="8"/>
      <c r="N71" s="8"/>
      <c r="O71" s="8"/>
      <c r="P71" s="8"/>
      <c r="Q71" s="8"/>
    </row>
    <row r="72" spans="1:17" x14ac:dyDescent="0.25">
      <c r="A72" s="13" t="s">
        <v>147</v>
      </c>
      <c r="B72" s="1" t="s">
        <v>148</v>
      </c>
      <c r="C72" s="1" t="s">
        <v>5</v>
      </c>
      <c r="D72" s="1">
        <v>0</v>
      </c>
      <c r="E72" s="1">
        <v>1</v>
      </c>
      <c r="F72" s="1">
        <v>5</v>
      </c>
      <c r="G72" s="1">
        <v>6</v>
      </c>
      <c r="H72" s="1">
        <v>2484.85</v>
      </c>
      <c r="I72" s="1">
        <v>2023</v>
      </c>
      <c r="J72" s="1">
        <v>1428.6</v>
      </c>
      <c r="K72" s="8"/>
      <c r="L72" s="8"/>
      <c r="M72" s="8"/>
      <c r="N72" s="8"/>
      <c r="O72" s="8"/>
      <c r="P72" s="8"/>
      <c r="Q72" s="8"/>
    </row>
    <row r="73" spans="1:17" x14ac:dyDescent="0.25">
      <c r="A73" s="13" t="s">
        <v>149</v>
      </c>
      <c r="B73" s="1" t="s">
        <v>150</v>
      </c>
      <c r="C73" s="1" t="s">
        <v>13</v>
      </c>
      <c r="D73" s="1">
        <v>0</v>
      </c>
      <c r="E73" s="1">
        <v>1</v>
      </c>
      <c r="F73" s="1">
        <v>3</v>
      </c>
      <c r="G73" s="1">
        <v>4</v>
      </c>
      <c r="H73" s="1">
        <v>6650.65</v>
      </c>
      <c r="I73" s="1">
        <v>2023</v>
      </c>
      <c r="J73" s="1">
        <v>2.5</v>
      </c>
      <c r="K73" s="8"/>
      <c r="L73" s="8"/>
      <c r="M73" s="8"/>
      <c r="N73" s="8"/>
      <c r="O73" s="8"/>
      <c r="P73" s="8"/>
      <c r="Q73" s="8"/>
    </row>
    <row r="74" spans="1:17" x14ac:dyDescent="0.25">
      <c r="A74" s="13" t="s">
        <v>151</v>
      </c>
      <c r="B74" s="1" t="s">
        <v>152</v>
      </c>
      <c r="C74" s="1" t="s">
        <v>13</v>
      </c>
      <c r="D74" s="1">
        <v>0</v>
      </c>
      <c r="E74" s="1">
        <v>1</v>
      </c>
      <c r="F74" s="1">
        <v>1</v>
      </c>
      <c r="G74" s="1">
        <v>2</v>
      </c>
      <c r="H74" s="1">
        <v>5943.13</v>
      </c>
      <c r="I74" s="1">
        <v>2023</v>
      </c>
      <c r="J74" s="1">
        <v>1.8</v>
      </c>
      <c r="K74" s="8"/>
      <c r="L74" s="8"/>
      <c r="M74" s="8"/>
      <c r="N74" s="8"/>
      <c r="O74" s="8"/>
      <c r="P74" s="8"/>
      <c r="Q74" s="8"/>
    </row>
    <row r="75" spans="1:17" x14ac:dyDescent="0.25">
      <c r="A75" s="13" t="s">
        <v>153</v>
      </c>
      <c r="B75" s="1" t="s">
        <v>154</v>
      </c>
      <c r="C75" s="1" t="s">
        <v>13</v>
      </c>
      <c r="D75" s="1">
        <v>0</v>
      </c>
      <c r="E75" s="1">
        <v>1</v>
      </c>
      <c r="F75" s="1">
        <v>0</v>
      </c>
      <c r="G75" s="1">
        <v>1</v>
      </c>
      <c r="H75" s="1">
        <v>34701.440000000002</v>
      </c>
      <c r="I75" s="1">
        <v>2023</v>
      </c>
      <c r="J75" s="1">
        <v>1.3</v>
      </c>
      <c r="K75" s="8"/>
      <c r="L75" s="8"/>
      <c r="M75" s="8"/>
      <c r="N75" s="8"/>
      <c r="O75" s="8"/>
      <c r="P75" s="8"/>
      <c r="Q75" s="8"/>
    </row>
    <row r="76" spans="1:17" x14ac:dyDescent="0.25">
      <c r="A76" s="13" t="s">
        <v>155</v>
      </c>
      <c r="B76" s="1" t="s">
        <v>156</v>
      </c>
      <c r="C76" s="1" t="s">
        <v>10</v>
      </c>
      <c r="D76" s="1">
        <v>0</v>
      </c>
      <c r="E76" s="1">
        <v>1</v>
      </c>
      <c r="F76" s="1">
        <v>0</v>
      </c>
      <c r="G76" s="1">
        <v>1</v>
      </c>
      <c r="H76" s="1">
        <v>5868.16</v>
      </c>
      <c r="I76" s="1">
        <v>2023</v>
      </c>
      <c r="J76" s="1">
        <v>0.9</v>
      </c>
      <c r="K76" s="8"/>
      <c r="L76" s="8"/>
      <c r="M76" s="8"/>
      <c r="N76" s="8"/>
      <c r="O76" s="8"/>
      <c r="P76" s="8"/>
      <c r="Q76" s="8"/>
    </row>
    <row r="77" spans="1:17" x14ac:dyDescent="0.25">
      <c r="A77" s="13" t="s">
        <v>157</v>
      </c>
      <c r="B77" s="1" t="s">
        <v>158</v>
      </c>
      <c r="C77" s="1" t="s">
        <v>5</v>
      </c>
      <c r="D77" s="1">
        <v>0</v>
      </c>
      <c r="E77" s="1">
        <v>1</v>
      </c>
      <c r="F77" s="1">
        <v>0</v>
      </c>
      <c r="G77" s="1">
        <v>1</v>
      </c>
      <c r="H77" s="1">
        <v>4482.09</v>
      </c>
      <c r="I77" s="1">
        <v>2023</v>
      </c>
      <c r="J77" s="1">
        <v>11.3</v>
      </c>
      <c r="K77" s="8"/>
      <c r="L77" s="8"/>
      <c r="M77" s="8"/>
      <c r="N77" s="8"/>
      <c r="O77" s="8"/>
      <c r="P77" s="8"/>
      <c r="Q77" s="8"/>
    </row>
    <row r="78" spans="1:17" x14ac:dyDescent="0.25">
      <c r="A78" s="13" t="s">
        <v>159</v>
      </c>
      <c r="B78" s="1" t="s">
        <v>160</v>
      </c>
      <c r="C78" s="1" t="s">
        <v>5</v>
      </c>
      <c r="D78" s="1">
        <v>0</v>
      </c>
      <c r="E78" s="1">
        <v>1</v>
      </c>
      <c r="F78" s="1">
        <v>0</v>
      </c>
      <c r="G78" s="1">
        <v>1</v>
      </c>
      <c r="H78" s="1">
        <v>5764.8</v>
      </c>
      <c r="I78" s="1">
        <v>2023</v>
      </c>
      <c r="J78" s="1">
        <v>3.4</v>
      </c>
      <c r="K78" s="8"/>
      <c r="L78" s="8"/>
      <c r="M78" s="8"/>
      <c r="N78" s="8"/>
      <c r="O78" s="8"/>
      <c r="P78" s="8"/>
      <c r="Q78" s="8"/>
    </row>
    <row r="79" spans="1:17" x14ac:dyDescent="0.25">
      <c r="A79" s="13" t="s">
        <v>161</v>
      </c>
      <c r="B79" s="1" t="s">
        <v>162</v>
      </c>
      <c r="C79" s="1" t="s">
        <v>45</v>
      </c>
      <c r="D79" s="1">
        <v>0</v>
      </c>
      <c r="E79" s="1">
        <v>1</v>
      </c>
      <c r="F79" s="1">
        <v>0</v>
      </c>
      <c r="G79" s="1">
        <v>1</v>
      </c>
      <c r="H79" s="1">
        <v>18661.77</v>
      </c>
      <c r="I79" s="1">
        <v>2023</v>
      </c>
      <c r="J79" s="1">
        <v>4.5</v>
      </c>
      <c r="K79" s="8"/>
      <c r="L79" s="8"/>
      <c r="M79" s="8"/>
      <c r="N79" s="8"/>
      <c r="O79" s="8"/>
      <c r="P79" s="8"/>
      <c r="Q79" s="8"/>
    </row>
    <row r="80" spans="1:17" x14ac:dyDescent="0.25">
      <c r="A80" s="13" t="s">
        <v>163</v>
      </c>
      <c r="B80" s="1" t="s">
        <v>164</v>
      </c>
      <c r="C80" s="1" t="s">
        <v>5</v>
      </c>
      <c r="D80" s="1">
        <v>0</v>
      </c>
      <c r="E80" s="1">
        <v>0</v>
      </c>
      <c r="F80" s="1">
        <v>3</v>
      </c>
      <c r="G80" s="1">
        <v>3</v>
      </c>
      <c r="H80" s="1">
        <v>1188.99</v>
      </c>
      <c r="I80" s="1">
        <v>2023</v>
      </c>
      <c r="J80" s="1">
        <v>10.1</v>
      </c>
      <c r="K80" s="8"/>
      <c r="L80" s="8"/>
      <c r="M80" s="8"/>
      <c r="N80" s="8"/>
      <c r="O80" s="8"/>
      <c r="P80" s="8"/>
      <c r="Q80" s="8"/>
    </row>
    <row r="81" spans="1:17" x14ac:dyDescent="0.25">
      <c r="A81" s="13" t="s">
        <v>165</v>
      </c>
      <c r="B81" s="1" t="s">
        <v>166</v>
      </c>
      <c r="C81" s="1" t="s">
        <v>13</v>
      </c>
      <c r="D81" s="1">
        <v>0</v>
      </c>
      <c r="E81" s="1">
        <v>0</v>
      </c>
      <c r="F81" s="1">
        <v>2</v>
      </c>
      <c r="G81" s="1">
        <v>2</v>
      </c>
      <c r="H81" s="1">
        <v>8367.7800000000007</v>
      </c>
      <c r="I81" s="1">
        <v>2023</v>
      </c>
      <c r="J81" s="1">
        <v>2.7</v>
      </c>
      <c r="K81" s="8"/>
      <c r="L81" s="8"/>
      <c r="M81" s="8"/>
      <c r="N81" s="8"/>
      <c r="O81" s="8"/>
      <c r="P81" s="8"/>
      <c r="Q81" s="8"/>
    </row>
    <row r="82" spans="1:17" x14ac:dyDescent="0.25">
      <c r="A82" s="13" t="s">
        <v>167</v>
      </c>
      <c r="B82" s="1" t="s">
        <v>168</v>
      </c>
      <c r="C82" s="1" t="s">
        <v>120</v>
      </c>
      <c r="D82" s="1">
        <v>0</v>
      </c>
      <c r="E82" s="1">
        <v>0</v>
      </c>
      <c r="F82" s="1">
        <v>2</v>
      </c>
      <c r="G82" s="1">
        <v>2</v>
      </c>
      <c r="H82" s="1">
        <v>10463.65</v>
      </c>
      <c r="I82" s="1">
        <v>2023</v>
      </c>
      <c r="J82" s="1">
        <v>0.1</v>
      </c>
      <c r="K82" s="8"/>
      <c r="L82" s="8"/>
      <c r="M82" s="8"/>
      <c r="N82" s="8"/>
      <c r="O82" s="8"/>
      <c r="P82" s="8"/>
      <c r="Q82" s="8"/>
    </row>
    <row r="83" spans="1:17" x14ac:dyDescent="0.25">
      <c r="A83" s="13" t="s">
        <v>169</v>
      </c>
      <c r="B83" s="1" t="s">
        <v>170</v>
      </c>
      <c r="C83" s="1" t="s">
        <v>5</v>
      </c>
      <c r="D83" s="1">
        <v>0</v>
      </c>
      <c r="E83" s="1">
        <v>0</v>
      </c>
      <c r="F83" s="1">
        <v>2</v>
      </c>
      <c r="G83" s="1">
        <v>2</v>
      </c>
      <c r="H83" s="1">
        <v>11648.67</v>
      </c>
      <c r="I83" s="1">
        <v>2023</v>
      </c>
      <c r="J83" s="1">
        <v>34.299999999999997</v>
      </c>
      <c r="K83" s="8"/>
      <c r="L83" s="8"/>
      <c r="M83" s="8"/>
      <c r="N83" s="8"/>
      <c r="O83" s="8"/>
      <c r="P83" s="8"/>
      <c r="Q83" s="8"/>
    </row>
    <row r="84" spans="1:17" x14ac:dyDescent="0.25">
      <c r="A84" s="13" t="s">
        <v>171</v>
      </c>
      <c r="B84" s="1" t="s">
        <v>172</v>
      </c>
      <c r="C84" s="1" t="s">
        <v>120</v>
      </c>
      <c r="D84" s="1">
        <v>0</v>
      </c>
      <c r="E84" s="1">
        <v>0</v>
      </c>
      <c r="F84" s="1">
        <v>2</v>
      </c>
      <c r="G84" s="1">
        <v>2</v>
      </c>
      <c r="H84" s="1">
        <v>36779.06</v>
      </c>
      <c r="I84" s="1">
        <v>2023</v>
      </c>
      <c r="J84" s="1">
        <v>3.2</v>
      </c>
      <c r="K84" s="8"/>
      <c r="L84" s="8"/>
      <c r="M84" s="8"/>
      <c r="N84" s="8"/>
      <c r="O84" s="8"/>
      <c r="P84" s="8"/>
      <c r="Q84" s="8"/>
    </row>
    <row r="85" spans="1:17" x14ac:dyDescent="0.25">
      <c r="A85" s="13" t="s">
        <v>173</v>
      </c>
      <c r="B85" s="1" t="s">
        <v>174</v>
      </c>
      <c r="C85" s="1" t="s">
        <v>38</v>
      </c>
      <c r="D85" s="1">
        <v>0</v>
      </c>
      <c r="E85" s="1">
        <v>0</v>
      </c>
      <c r="F85" s="1">
        <v>1</v>
      </c>
      <c r="G85" s="1">
        <v>1</v>
      </c>
      <c r="H85" s="1">
        <v>4321.58</v>
      </c>
      <c r="I85" s="1">
        <v>2023</v>
      </c>
      <c r="J85" s="1">
        <v>0.6</v>
      </c>
      <c r="K85" s="8"/>
      <c r="L85" s="8"/>
      <c r="M85" s="8"/>
      <c r="N85" s="8"/>
      <c r="O85" s="8"/>
      <c r="P85" s="8"/>
      <c r="Q85" s="8"/>
    </row>
    <row r="86" spans="1:17" x14ac:dyDescent="0.25">
      <c r="A86" s="13" t="s">
        <v>175</v>
      </c>
      <c r="B86" s="1" t="s">
        <v>176</v>
      </c>
      <c r="C86" s="1" t="s">
        <v>38</v>
      </c>
      <c r="D86" s="1">
        <v>0</v>
      </c>
      <c r="E86" s="1">
        <v>0</v>
      </c>
      <c r="F86" s="1">
        <v>1</v>
      </c>
      <c r="G86" s="1">
        <v>1</v>
      </c>
      <c r="H86" s="1">
        <v>2728.8</v>
      </c>
      <c r="I86" s="1">
        <v>2023</v>
      </c>
      <c r="J86" s="1">
        <v>28.9</v>
      </c>
      <c r="K86" s="8"/>
      <c r="L86" s="8"/>
      <c r="M86" s="8"/>
      <c r="N86" s="8"/>
      <c r="O86" s="8"/>
      <c r="P86" s="8"/>
      <c r="Q86" s="8"/>
    </row>
    <row r="87" spans="1:17" x14ac:dyDescent="0.25">
      <c r="A87" s="13" t="s">
        <v>177</v>
      </c>
      <c r="B87" s="1" t="s">
        <v>178</v>
      </c>
      <c r="C87" s="1" t="s">
        <v>45</v>
      </c>
      <c r="D87" s="1">
        <v>0</v>
      </c>
      <c r="E87" s="1">
        <v>0</v>
      </c>
      <c r="F87" s="1">
        <v>1</v>
      </c>
      <c r="G87" s="1">
        <v>1</v>
      </c>
      <c r="H87" s="1">
        <v>7789.87</v>
      </c>
      <c r="I87" s="1">
        <v>2023</v>
      </c>
      <c r="J87" s="1">
        <v>34.4</v>
      </c>
      <c r="K87" s="8"/>
      <c r="L87" s="8"/>
      <c r="M87" s="8"/>
      <c r="N87" s="8"/>
      <c r="O87" s="8"/>
      <c r="P87" s="8"/>
      <c r="Q87" s="8"/>
    </row>
    <row r="88" spans="1:17" x14ac:dyDescent="0.25">
      <c r="A88" s="13" t="s">
        <v>179</v>
      </c>
      <c r="B88" s="1" t="s">
        <v>180</v>
      </c>
      <c r="C88" s="1" t="s">
        <v>5</v>
      </c>
      <c r="D88" s="1">
        <v>0</v>
      </c>
      <c r="E88" s="1">
        <v>0</v>
      </c>
      <c r="F88" s="1">
        <v>1</v>
      </c>
      <c r="G88" s="1">
        <v>1</v>
      </c>
      <c r="H88" s="1">
        <v>87480.42</v>
      </c>
      <c r="I88" s="1">
        <v>2022</v>
      </c>
      <c r="J88" s="1">
        <v>2.7</v>
      </c>
      <c r="K88" s="8"/>
      <c r="L88" s="8"/>
      <c r="M88" s="8"/>
      <c r="N88" s="8"/>
      <c r="O88" s="8"/>
      <c r="P88" s="8"/>
      <c r="Q88" s="8"/>
    </row>
    <row r="89" spans="1:17" x14ac:dyDescent="0.25">
      <c r="A89" s="13" t="s">
        <v>181</v>
      </c>
      <c r="B89" s="1" t="s">
        <v>182</v>
      </c>
      <c r="C89" s="1" t="s">
        <v>5</v>
      </c>
      <c r="D89" s="1">
        <v>0</v>
      </c>
      <c r="E89" s="1">
        <v>0</v>
      </c>
      <c r="F89" s="1">
        <v>1</v>
      </c>
      <c r="G89" s="1">
        <v>1</v>
      </c>
      <c r="H89" s="1">
        <v>84734.26</v>
      </c>
      <c r="I89" s="1">
        <v>2023</v>
      </c>
      <c r="J89" s="1">
        <v>5.9</v>
      </c>
      <c r="K89" s="8"/>
      <c r="L89" s="8"/>
      <c r="M89" s="8"/>
      <c r="N89" s="8"/>
      <c r="O89" s="8"/>
      <c r="P89" s="8"/>
      <c r="Q89" s="8"/>
    </row>
    <row r="90" spans="1:17" x14ac:dyDescent="0.25">
      <c r="A90" s="13" t="s">
        <v>183</v>
      </c>
      <c r="B90" s="1" t="s">
        <v>184</v>
      </c>
      <c r="C90" s="1" t="s">
        <v>13</v>
      </c>
      <c r="D90" s="1">
        <v>0</v>
      </c>
      <c r="E90" s="1">
        <v>0</v>
      </c>
      <c r="F90" s="1">
        <v>1</v>
      </c>
      <c r="G90" s="1">
        <v>1</v>
      </c>
      <c r="H90" s="1">
        <v>24470.240000000002</v>
      </c>
      <c r="I90" s="1">
        <v>2023</v>
      </c>
      <c r="J90" s="1">
        <v>5.4</v>
      </c>
      <c r="K90" s="8"/>
      <c r="L90" s="8"/>
      <c r="M90" s="8"/>
      <c r="N90" s="8"/>
      <c r="O90" s="8"/>
      <c r="P90" s="8"/>
      <c r="Q90" s="8"/>
    </row>
    <row r="91" spans="1:17" x14ac:dyDescent="0.25">
      <c r="A91" s="22" t="s">
        <v>185</v>
      </c>
      <c r="B91" s="23" t="s">
        <v>186</v>
      </c>
      <c r="C91" s="23" t="s">
        <v>38</v>
      </c>
      <c r="D91" s="23">
        <v>0</v>
      </c>
      <c r="E91" s="23">
        <v>0</v>
      </c>
      <c r="F91" s="23">
        <v>1</v>
      </c>
      <c r="G91" s="23">
        <v>1</v>
      </c>
      <c r="H91" s="23">
        <v>1369.13</v>
      </c>
      <c r="I91" s="23">
        <v>2023</v>
      </c>
      <c r="J91" s="23">
        <v>20.6</v>
      </c>
      <c r="K91" s="8"/>
      <c r="L91" s="8"/>
      <c r="M91" s="8"/>
      <c r="N91" s="8"/>
      <c r="O91" s="8"/>
      <c r="P91" s="8"/>
      <c r="Q91" s="8"/>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FB3AC-14D0-4732-8290-40F9FFFC2C5C}">
  <sheetPr>
    <tabColor theme="9" tint="-0.249977111117893"/>
  </sheetPr>
  <dimension ref="A1:AA91"/>
  <sheetViews>
    <sheetView topLeftCell="H1" workbookViewId="0">
      <selection activeCell="H20" sqref="H20"/>
    </sheetView>
  </sheetViews>
  <sheetFormatPr defaultRowHeight="15" x14ac:dyDescent="0.25"/>
  <cols>
    <col min="1" max="1" width="18.85546875" style="2" bestFit="1" customWidth="1"/>
    <col min="2" max="2" width="18" style="2" bestFit="1" customWidth="1"/>
    <col min="3" max="3" width="14" style="2" bestFit="1" customWidth="1"/>
    <col min="4" max="4" width="9.85546875" style="2" bestFit="1" customWidth="1"/>
    <col min="5" max="5" width="10.5703125" style="2" bestFit="1" customWidth="1"/>
    <col min="6" max="6" width="11.7109375" style="2" bestFit="1" customWidth="1"/>
    <col min="7" max="7" width="10" style="2" bestFit="1" customWidth="1"/>
    <col min="8" max="8" width="20.85546875" style="4" bestFit="1" customWidth="1"/>
    <col min="9" max="9" width="10" style="2" bestFit="1" customWidth="1"/>
    <col min="10" max="10" width="14.28515625" style="2" bestFit="1" customWidth="1"/>
    <col min="11" max="11" width="15.28515625" style="2" bestFit="1" customWidth="1"/>
    <col min="12" max="12" width="11.85546875" style="5" bestFit="1" customWidth="1"/>
    <col min="13" max="13" width="12.140625" style="6" bestFit="1" customWidth="1"/>
    <col min="14" max="14" width="13.28515625" style="4" bestFit="1" customWidth="1"/>
    <col min="15" max="15" width="16.85546875" style="4" bestFit="1" customWidth="1"/>
    <col min="16" max="16" width="21.42578125" style="4" bestFit="1" customWidth="1"/>
    <col min="17" max="17" width="19" style="7" bestFit="1" customWidth="1"/>
    <col min="18" max="18" width="19" style="7" customWidth="1"/>
    <col min="19" max="19" width="17.85546875" style="4" bestFit="1" customWidth="1"/>
    <col min="20" max="20" width="24.140625" style="4" bestFit="1" customWidth="1"/>
  </cols>
  <sheetData>
    <row r="1" spans="1:27" x14ac:dyDescent="0.25">
      <c r="A1" s="15" t="s">
        <v>238</v>
      </c>
      <c r="B1" s="16" t="s">
        <v>239</v>
      </c>
      <c r="C1" s="16" t="s">
        <v>240</v>
      </c>
      <c r="D1" s="16" t="s">
        <v>241</v>
      </c>
      <c r="E1" s="16" t="s">
        <v>242</v>
      </c>
      <c r="F1" s="16" t="s">
        <v>243</v>
      </c>
      <c r="G1" s="16" t="s">
        <v>244</v>
      </c>
      <c r="H1" s="17" t="s">
        <v>253</v>
      </c>
      <c r="I1" s="16" t="s">
        <v>245</v>
      </c>
      <c r="J1" s="16" t="s">
        <v>246</v>
      </c>
      <c r="K1" s="16" t="s">
        <v>247</v>
      </c>
      <c r="L1" s="18" t="s">
        <v>248</v>
      </c>
      <c r="M1" s="19" t="s">
        <v>249</v>
      </c>
      <c r="N1" s="17" t="s">
        <v>250</v>
      </c>
      <c r="O1" s="17" t="s">
        <v>283</v>
      </c>
      <c r="P1" s="17" t="s">
        <v>286</v>
      </c>
      <c r="Q1" s="20" t="s">
        <v>251</v>
      </c>
      <c r="R1" s="20" t="s">
        <v>282</v>
      </c>
      <c r="S1" s="17" t="s">
        <v>252</v>
      </c>
      <c r="T1" s="21" t="s">
        <v>254</v>
      </c>
      <c r="U1" s="8"/>
      <c r="V1" s="8"/>
      <c r="W1" s="8"/>
      <c r="X1" s="8"/>
      <c r="Y1" s="8"/>
      <c r="Z1" s="8"/>
      <c r="AA1" s="8"/>
    </row>
    <row r="2" spans="1:27" x14ac:dyDescent="0.25">
      <c r="A2" s="13" t="s">
        <v>0</v>
      </c>
      <c r="B2" s="1" t="s">
        <v>1</v>
      </c>
      <c r="C2" s="1" t="s">
        <v>2</v>
      </c>
      <c r="D2" s="1">
        <v>40</v>
      </c>
      <c r="E2" s="1">
        <v>44</v>
      </c>
      <c r="F2" s="1">
        <v>42</v>
      </c>
      <c r="G2" s="1">
        <v>126</v>
      </c>
      <c r="H2" s="9" t="str">
        <f>IF(G2&gt;=100,"Excellent","Needs improvement")</f>
        <v>Excellent</v>
      </c>
      <c r="I2" s="1">
        <v>81695.19</v>
      </c>
      <c r="J2" s="1">
        <v>2023</v>
      </c>
      <c r="K2" s="1">
        <v>334.9</v>
      </c>
      <c r="L2" s="10">
        <f>D2/G2</f>
        <v>0.31746031746031744</v>
      </c>
      <c r="M2" s="11">
        <f>E2/G2</f>
        <v>0.34920634920634919</v>
      </c>
      <c r="N2" s="11">
        <f>F2/G2</f>
        <v>0.33333333333333331</v>
      </c>
      <c r="O2" s="11">
        <f>Table1456[[#This Row],[Total]]/Table1456[[#This Row],[Population]]</f>
        <v>0.37623171095849511</v>
      </c>
      <c r="P2" s="11">
        <f>(Table1456[[#This Row],[Gold]]*3)+(Table1456[[#This Row],[Silver]]*2)+(Table1456[[#This Row],[Bronze]]*1)</f>
        <v>250</v>
      </c>
      <c r="Q2" s="12">
        <f>I2/G2</f>
        <v>648.37452380952379</v>
      </c>
      <c r="R2" s="12">
        <f>PRODUCT(Table1456[[#This Row],[GDP]]*Table1456[[#This Row],[Gold]])</f>
        <v>3267807.6</v>
      </c>
      <c r="S2" s="9" t="str">
        <f>IF(I2&gt;=50000,"High GDP","Low GDP")</f>
        <v>High GDP</v>
      </c>
      <c r="T2" s="14" t="str">
        <f>IF(D2&gt;=20,"Top performer","Low performer")</f>
        <v>Top performer</v>
      </c>
      <c r="U2" s="8"/>
      <c r="V2" s="8"/>
      <c r="W2" s="8"/>
      <c r="X2" s="8"/>
      <c r="Y2" s="8"/>
      <c r="Z2" s="8"/>
      <c r="AA2" s="8"/>
    </row>
    <row r="3" spans="1:27" x14ac:dyDescent="0.25">
      <c r="A3" s="13" t="s">
        <v>3</v>
      </c>
      <c r="B3" s="1" t="s">
        <v>4</v>
      </c>
      <c r="C3" s="1" t="s">
        <v>5</v>
      </c>
      <c r="D3" s="1">
        <v>40</v>
      </c>
      <c r="E3" s="1">
        <v>27</v>
      </c>
      <c r="F3" s="1">
        <v>24</v>
      </c>
      <c r="G3" s="1">
        <v>91</v>
      </c>
      <c r="H3" s="9" t="str">
        <f t="shared" ref="H3:H66" si="0">IF(G3&gt;=100,"Excellent","Needs improvement")</f>
        <v>Needs improvement</v>
      </c>
      <c r="I3" s="1">
        <v>12614.06</v>
      </c>
      <c r="J3" s="1">
        <v>2023</v>
      </c>
      <c r="K3" s="1">
        <v>1410.7</v>
      </c>
      <c r="L3" s="10">
        <f t="shared" ref="L3:L66" si="1">D3/G3</f>
        <v>0.43956043956043955</v>
      </c>
      <c r="M3" s="11">
        <f t="shared" ref="M3:M66" si="2">E3/G3</f>
        <v>0.2967032967032967</v>
      </c>
      <c r="N3" s="11">
        <f t="shared" ref="N3:N66" si="3">F3/G3</f>
        <v>0.26373626373626374</v>
      </c>
      <c r="O3" s="11">
        <f>Table1456[[#This Row],[Total]]/Table1456[[#This Row],[Population]]</f>
        <v>6.4506982349188349E-2</v>
      </c>
      <c r="P3" s="11">
        <f>(Table1456[[#This Row],[Gold]]*3)+(Table1456[[#This Row],[Silver]]*2)+(Table1456[[#This Row],[Bronze]]*1)</f>
        <v>198</v>
      </c>
      <c r="Q3" s="12">
        <f t="shared" ref="Q3:Q66" si="4">I3/G3</f>
        <v>138.61604395604394</v>
      </c>
      <c r="R3" s="12">
        <f>PRODUCT(Table1456[[#This Row],[GDP]]*Table1456[[#This Row],[Gold]])</f>
        <v>504562.39999999997</v>
      </c>
      <c r="S3" s="9" t="str">
        <f t="shared" ref="S3:S66" si="5">IF(I3&gt;=50000,"High GDP","Low GDP")</f>
        <v>Low GDP</v>
      </c>
      <c r="T3" s="14" t="str">
        <f t="shared" ref="T3:T66" si="6">IF(D3&gt;=20,"Top performer","Low performer")</f>
        <v>Top performer</v>
      </c>
      <c r="U3" s="8"/>
      <c r="V3" s="8"/>
      <c r="W3" s="8"/>
      <c r="X3" s="8"/>
      <c r="Y3" s="8"/>
      <c r="Z3" s="8"/>
      <c r="AA3" s="8"/>
    </row>
    <row r="4" spans="1:27" x14ac:dyDescent="0.25">
      <c r="A4" s="13" t="s">
        <v>6</v>
      </c>
      <c r="B4" s="1" t="s">
        <v>7</v>
      </c>
      <c r="C4" s="1" t="s">
        <v>5</v>
      </c>
      <c r="D4" s="1">
        <v>20</v>
      </c>
      <c r="E4" s="1">
        <v>12</v>
      </c>
      <c r="F4" s="1">
        <v>13</v>
      </c>
      <c r="G4" s="1">
        <v>45</v>
      </c>
      <c r="H4" s="9" t="str">
        <f t="shared" si="0"/>
        <v>Needs improvement</v>
      </c>
      <c r="I4" s="1">
        <v>33834.39</v>
      </c>
      <c r="J4" s="1">
        <v>2023</v>
      </c>
      <c r="K4" s="1">
        <v>124.5</v>
      </c>
      <c r="L4" s="10">
        <f t="shared" si="1"/>
        <v>0.44444444444444442</v>
      </c>
      <c r="M4" s="11">
        <f t="shared" si="2"/>
        <v>0.26666666666666666</v>
      </c>
      <c r="N4" s="11">
        <f t="shared" si="3"/>
        <v>0.28888888888888886</v>
      </c>
      <c r="O4" s="11">
        <f>Table1456[[#This Row],[Total]]/Table1456[[#This Row],[Population]]</f>
        <v>0.36144578313253012</v>
      </c>
      <c r="P4" s="11">
        <f>(Table1456[[#This Row],[Gold]]*3)+(Table1456[[#This Row],[Silver]]*2)+(Table1456[[#This Row],[Bronze]]*1)</f>
        <v>97</v>
      </c>
      <c r="Q4" s="12">
        <f t="shared" si="4"/>
        <v>751.87533333333329</v>
      </c>
      <c r="R4" s="12">
        <f>PRODUCT(Table1456[[#This Row],[GDP]]*Table1456[[#This Row],[Gold]])</f>
        <v>676687.8</v>
      </c>
      <c r="S4" s="9" t="str">
        <f t="shared" si="5"/>
        <v>Low GDP</v>
      </c>
      <c r="T4" s="14" t="str">
        <f t="shared" si="6"/>
        <v>Top performer</v>
      </c>
      <c r="U4" s="8"/>
      <c r="V4" s="8"/>
      <c r="W4" s="8"/>
      <c r="X4" s="8"/>
      <c r="Y4" s="8"/>
      <c r="Z4" s="8"/>
      <c r="AA4" s="8"/>
    </row>
    <row r="5" spans="1:27" x14ac:dyDescent="0.25">
      <c r="A5" s="13" t="s">
        <v>8</v>
      </c>
      <c r="B5" s="1" t="s">
        <v>9</v>
      </c>
      <c r="C5" s="1" t="s">
        <v>10</v>
      </c>
      <c r="D5" s="1">
        <v>18</v>
      </c>
      <c r="E5" s="1">
        <v>19</v>
      </c>
      <c r="F5" s="1">
        <v>16</v>
      </c>
      <c r="G5" s="1">
        <v>53</v>
      </c>
      <c r="H5" s="9" t="str">
        <f t="shared" si="0"/>
        <v>Needs improvement</v>
      </c>
      <c r="I5" s="1">
        <v>64711.77</v>
      </c>
      <c r="J5" s="1">
        <v>2023</v>
      </c>
      <c r="K5" s="1">
        <v>26.6</v>
      </c>
      <c r="L5" s="10">
        <f t="shared" si="1"/>
        <v>0.33962264150943394</v>
      </c>
      <c r="M5" s="11">
        <f t="shared" si="2"/>
        <v>0.35849056603773582</v>
      </c>
      <c r="N5" s="11">
        <f t="shared" si="3"/>
        <v>0.30188679245283018</v>
      </c>
      <c r="O5" s="11">
        <f>Table1456[[#This Row],[Total]]/Table1456[[#This Row],[Population]]</f>
        <v>1.9924812030075187</v>
      </c>
      <c r="P5" s="11">
        <f>(Table1456[[#This Row],[Gold]]*3)+(Table1456[[#This Row],[Silver]]*2)+(Table1456[[#This Row],[Bronze]]*1)</f>
        <v>108</v>
      </c>
      <c r="Q5" s="12">
        <f t="shared" si="4"/>
        <v>1220.9767924528301</v>
      </c>
      <c r="R5" s="12">
        <f>PRODUCT(Table1456[[#This Row],[GDP]]*Table1456[[#This Row],[Gold]])</f>
        <v>1164811.8599999999</v>
      </c>
      <c r="S5" s="9" t="str">
        <f t="shared" si="5"/>
        <v>High GDP</v>
      </c>
      <c r="T5" s="14" t="str">
        <f t="shared" si="6"/>
        <v>Low performer</v>
      </c>
      <c r="U5" s="8"/>
      <c r="V5" s="8"/>
      <c r="W5" s="8"/>
      <c r="X5" s="8"/>
      <c r="Y5" s="8"/>
      <c r="Z5" s="8"/>
      <c r="AA5" s="8"/>
    </row>
    <row r="6" spans="1:27" x14ac:dyDescent="0.25">
      <c r="A6" s="13" t="s">
        <v>11</v>
      </c>
      <c r="B6" s="1" t="s">
        <v>12</v>
      </c>
      <c r="C6" s="1" t="s">
        <v>13</v>
      </c>
      <c r="D6" s="1">
        <v>16</v>
      </c>
      <c r="E6" s="1">
        <v>26</v>
      </c>
      <c r="F6" s="1">
        <v>22</v>
      </c>
      <c r="G6" s="1">
        <v>64</v>
      </c>
      <c r="H6" s="9" t="str">
        <f t="shared" si="0"/>
        <v>Needs improvement</v>
      </c>
      <c r="I6" s="1">
        <v>44460.82</v>
      </c>
      <c r="J6" s="1">
        <v>2023</v>
      </c>
      <c r="K6" s="1">
        <v>68.2</v>
      </c>
      <c r="L6" s="10">
        <f t="shared" si="1"/>
        <v>0.25</v>
      </c>
      <c r="M6" s="11">
        <f t="shared" si="2"/>
        <v>0.40625</v>
      </c>
      <c r="N6" s="11">
        <f t="shared" si="3"/>
        <v>0.34375</v>
      </c>
      <c r="O6" s="11">
        <f>Table1456[[#This Row],[Total]]/Table1456[[#This Row],[Population]]</f>
        <v>0.93841642228738997</v>
      </c>
      <c r="P6" s="11">
        <f>(Table1456[[#This Row],[Gold]]*3)+(Table1456[[#This Row],[Silver]]*2)+(Table1456[[#This Row],[Bronze]]*1)</f>
        <v>122</v>
      </c>
      <c r="Q6" s="12">
        <f t="shared" si="4"/>
        <v>694.7003125</v>
      </c>
      <c r="R6" s="12">
        <f>PRODUCT(Table1456[[#This Row],[GDP]]*Table1456[[#This Row],[Gold]])</f>
        <v>711373.12</v>
      </c>
      <c r="S6" s="9" t="str">
        <f t="shared" si="5"/>
        <v>Low GDP</v>
      </c>
      <c r="T6" s="14" t="str">
        <f t="shared" si="6"/>
        <v>Low performer</v>
      </c>
      <c r="U6" s="8"/>
      <c r="V6" s="8"/>
      <c r="W6" s="8"/>
      <c r="X6" s="8"/>
      <c r="Y6" s="8"/>
      <c r="Z6" s="8"/>
      <c r="AA6" s="8"/>
    </row>
    <row r="7" spans="1:27" x14ac:dyDescent="0.25">
      <c r="A7" s="13" t="s">
        <v>14</v>
      </c>
      <c r="B7" s="1" t="s">
        <v>15</v>
      </c>
      <c r="C7" s="1" t="s">
        <v>13</v>
      </c>
      <c r="D7" s="1">
        <v>15</v>
      </c>
      <c r="E7" s="1">
        <v>7</v>
      </c>
      <c r="F7" s="1">
        <v>12</v>
      </c>
      <c r="G7" s="1">
        <v>34</v>
      </c>
      <c r="H7" s="9" t="str">
        <f t="shared" si="0"/>
        <v>Needs improvement</v>
      </c>
      <c r="I7" s="1">
        <v>62536.73</v>
      </c>
      <c r="J7" s="1">
        <v>2023</v>
      </c>
      <c r="K7" s="1">
        <v>17.899999999999999</v>
      </c>
      <c r="L7" s="10">
        <f t="shared" si="1"/>
        <v>0.44117647058823528</v>
      </c>
      <c r="M7" s="11">
        <f t="shared" si="2"/>
        <v>0.20588235294117646</v>
      </c>
      <c r="N7" s="11">
        <f t="shared" si="3"/>
        <v>0.35294117647058826</v>
      </c>
      <c r="O7" s="11">
        <f>Table1456[[#This Row],[Total]]/Table1456[[#This Row],[Population]]</f>
        <v>1.8994413407821231</v>
      </c>
      <c r="P7" s="11">
        <f>(Table1456[[#This Row],[Gold]]*3)+(Table1456[[#This Row],[Silver]]*2)+(Table1456[[#This Row],[Bronze]]*1)</f>
        <v>71</v>
      </c>
      <c r="Q7" s="12">
        <f t="shared" si="4"/>
        <v>1839.3155882352942</v>
      </c>
      <c r="R7" s="12">
        <f>PRODUCT(Table1456[[#This Row],[GDP]]*Table1456[[#This Row],[Gold]])</f>
        <v>938050.95000000007</v>
      </c>
      <c r="S7" s="9" t="str">
        <f t="shared" si="5"/>
        <v>High GDP</v>
      </c>
      <c r="T7" s="14" t="str">
        <f t="shared" si="6"/>
        <v>Low performer</v>
      </c>
      <c r="U7" s="8"/>
      <c r="V7" s="8"/>
      <c r="W7" s="8"/>
      <c r="X7" s="8"/>
      <c r="Y7" s="8"/>
      <c r="Z7" s="8"/>
      <c r="AA7" s="8"/>
    </row>
    <row r="8" spans="1:27" x14ac:dyDescent="0.25">
      <c r="A8" s="13" t="s">
        <v>16</v>
      </c>
      <c r="B8" s="1" t="s">
        <v>17</v>
      </c>
      <c r="C8" s="1" t="s">
        <v>13</v>
      </c>
      <c r="D8" s="1">
        <v>14</v>
      </c>
      <c r="E8" s="1">
        <v>22</v>
      </c>
      <c r="F8" s="1">
        <v>29</v>
      </c>
      <c r="G8" s="1">
        <v>65</v>
      </c>
      <c r="H8" s="9" t="str">
        <f t="shared" si="0"/>
        <v>Needs improvement</v>
      </c>
      <c r="I8" s="1">
        <v>48866.6</v>
      </c>
      <c r="J8" s="1">
        <v>2023</v>
      </c>
      <c r="K8" s="1">
        <v>68.3</v>
      </c>
      <c r="L8" s="10">
        <f t="shared" si="1"/>
        <v>0.2153846153846154</v>
      </c>
      <c r="M8" s="11">
        <f t="shared" si="2"/>
        <v>0.33846153846153848</v>
      </c>
      <c r="N8" s="11">
        <f t="shared" si="3"/>
        <v>0.44615384615384618</v>
      </c>
      <c r="O8" s="11">
        <f>Table1456[[#This Row],[Total]]/Table1456[[#This Row],[Population]]</f>
        <v>0.95168374816983903</v>
      </c>
      <c r="P8" s="11">
        <f>(Table1456[[#This Row],[Gold]]*3)+(Table1456[[#This Row],[Silver]]*2)+(Table1456[[#This Row],[Bronze]]*1)</f>
        <v>115</v>
      </c>
      <c r="Q8" s="12">
        <f t="shared" si="4"/>
        <v>751.79384615384618</v>
      </c>
      <c r="R8" s="12">
        <f>PRODUCT(Table1456[[#This Row],[GDP]]*Table1456[[#This Row],[Gold]])</f>
        <v>684132.4</v>
      </c>
      <c r="S8" s="9" t="str">
        <f t="shared" si="5"/>
        <v>Low GDP</v>
      </c>
      <c r="T8" s="14" t="str">
        <f t="shared" si="6"/>
        <v>Low performer</v>
      </c>
      <c r="U8" s="8"/>
      <c r="V8" s="8"/>
      <c r="W8" s="8"/>
      <c r="X8" s="8"/>
      <c r="Y8" s="8"/>
      <c r="Z8" s="8"/>
      <c r="AA8" s="8"/>
    </row>
    <row r="9" spans="1:27" x14ac:dyDescent="0.25">
      <c r="A9" s="13" t="s">
        <v>18</v>
      </c>
      <c r="B9" s="1" t="s">
        <v>19</v>
      </c>
      <c r="C9" s="1" t="s">
        <v>5</v>
      </c>
      <c r="D9" s="1">
        <v>13</v>
      </c>
      <c r="E9" s="1">
        <v>9</v>
      </c>
      <c r="F9" s="1">
        <v>10</v>
      </c>
      <c r="G9" s="1">
        <v>32</v>
      </c>
      <c r="H9" s="9" t="str">
        <f t="shared" si="0"/>
        <v>Needs improvement</v>
      </c>
      <c r="I9" s="1">
        <v>33121.370000000003</v>
      </c>
      <c r="J9" s="1">
        <v>2023</v>
      </c>
      <c r="K9" s="1">
        <v>51.7</v>
      </c>
      <c r="L9" s="10">
        <f t="shared" si="1"/>
        <v>0.40625</v>
      </c>
      <c r="M9" s="11">
        <f t="shared" si="2"/>
        <v>0.28125</v>
      </c>
      <c r="N9" s="11">
        <f t="shared" si="3"/>
        <v>0.3125</v>
      </c>
      <c r="O9" s="11">
        <f>Table1456[[#This Row],[Total]]/Table1456[[#This Row],[Population]]</f>
        <v>0.61895551257253378</v>
      </c>
      <c r="P9" s="11">
        <f>(Table1456[[#This Row],[Gold]]*3)+(Table1456[[#This Row],[Silver]]*2)+(Table1456[[#This Row],[Bronze]]*1)</f>
        <v>67</v>
      </c>
      <c r="Q9" s="12">
        <f t="shared" si="4"/>
        <v>1035.0428125000001</v>
      </c>
      <c r="R9" s="12">
        <f>PRODUCT(Table1456[[#This Row],[GDP]]*Table1456[[#This Row],[Gold]])</f>
        <v>430577.81000000006</v>
      </c>
      <c r="S9" s="9" t="str">
        <f t="shared" si="5"/>
        <v>Low GDP</v>
      </c>
      <c r="T9" s="14" t="str">
        <f t="shared" si="6"/>
        <v>Low performer</v>
      </c>
      <c r="U9" s="8"/>
      <c r="V9" s="8"/>
      <c r="W9" s="8"/>
      <c r="X9" s="8"/>
      <c r="Y9" s="8"/>
      <c r="Z9" s="8"/>
      <c r="AA9" s="8"/>
    </row>
    <row r="10" spans="1:27" x14ac:dyDescent="0.25">
      <c r="A10" s="13" t="s">
        <v>20</v>
      </c>
      <c r="B10" s="1" t="s">
        <v>21</v>
      </c>
      <c r="C10" s="1" t="s">
        <v>13</v>
      </c>
      <c r="D10" s="1">
        <v>12</v>
      </c>
      <c r="E10" s="1">
        <v>13</v>
      </c>
      <c r="F10" s="1">
        <v>15</v>
      </c>
      <c r="G10" s="1">
        <v>40</v>
      </c>
      <c r="H10" s="9" t="str">
        <f t="shared" si="0"/>
        <v>Needs improvement</v>
      </c>
      <c r="I10" s="1">
        <v>38373.17</v>
      </c>
      <c r="J10" s="1">
        <v>2023</v>
      </c>
      <c r="K10" s="1">
        <v>58.8</v>
      </c>
      <c r="L10" s="10">
        <f t="shared" si="1"/>
        <v>0.3</v>
      </c>
      <c r="M10" s="11">
        <f t="shared" si="2"/>
        <v>0.32500000000000001</v>
      </c>
      <c r="N10" s="11">
        <f t="shared" si="3"/>
        <v>0.375</v>
      </c>
      <c r="O10" s="11">
        <f>Table1456[[#This Row],[Total]]/Table1456[[#This Row],[Population]]</f>
        <v>0.68027210884353739</v>
      </c>
      <c r="P10" s="11">
        <f>(Table1456[[#This Row],[Gold]]*3)+(Table1456[[#This Row],[Silver]]*2)+(Table1456[[#This Row],[Bronze]]*1)</f>
        <v>77</v>
      </c>
      <c r="Q10" s="12">
        <f t="shared" si="4"/>
        <v>959.32925</v>
      </c>
      <c r="R10" s="12">
        <f>PRODUCT(Table1456[[#This Row],[GDP]]*Table1456[[#This Row],[Gold]])</f>
        <v>460478.04</v>
      </c>
      <c r="S10" s="9" t="str">
        <f t="shared" si="5"/>
        <v>Low GDP</v>
      </c>
      <c r="T10" s="14" t="str">
        <f t="shared" si="6"/>
        <v>Low performer</v>
      </c>
      <c r="U10" s="8"/>
      <c r="V10" s="8"/>
      <c r="W10" s="8"/>
      <c r="X10" s="8"/>
      <c r="Y10" s="8"/>
      <c r="Z10" s="8"/>
      <c r="AA10" s="8"/>
    </row>
    <row r="11" spans="1:27" x14ac:dyDescent="0.25">
      <c r="A11" s="13" t="s">
        <v>22</v>
      </c>
      <c r="B11" s="1" t="s">
        <v>23</v>
      </c>
      <c r="C11" s="1" t="s">
        <v>13</v>
      </c>
      <c r="D11" s="1">
        <v>12</v>
      </c>
      <c r="E11" s="1">
        <v>13</v>
      </c>
      <c r="F11" s="1">
        <v>8</v>
      </c>
      <c r="G11" s="1">
        <v>33</v>
      </c>
      <c r="H11" s="9" t="str">
        <f t="shared" si="0"/>
        <v>Needs improvement</v>
      </c>
      <c r="I11" s="1">
        <v>52745.760000000002</v>
      </c>
      <c r="J11" s="1">
        <v>2023</v>
      </c>
      <c r="K11" s="1">
        <v>84.5</v>
      </c>
      <c r="L11" s="10">
        <f t="shared" si="1"/>
        <v>0.36363636363636365</v>
      </c>
      <c r="M11" s="11">
        <f t="shared" si="2"/>
        <v>0.39393939393939392</v>
      </c>
      <c r="N11" s="11">
        <f t="shared" si="3"/>
        <v>0.24242424242424243</v>
      </c>
      <c r="O11" s="11">
        <f>Table1456[[#This Row],[Total]]/Table1456[[#This Row],[Population]]</f>
        <v>0.39053254437869822</v>
      </c>
      <c r="P11" s="11">
        <f>(Table1456[[#This Row],[Gold]]*3)+(Table1456[[#This Row],[Silver]]*2)+(Table1456[[#This Row],[Bronze]]*1)</f>
        <v>70</v>
      </c>
      <c r="Q11" s="12">
        <f t="shared" si="4"/>
        <v>1598.3563636363638</v>
      </c>
      <c r="R11" s="12">
        <f>PRODUCT(Table1456[[#This Row],[GDP]]*Table1456[[#This Row],[Gold]])</f>
        <v>632949.12</v>
      </c>
      <c r="S11" s="9" t="str">
        <f t="shared" si="5"/>
        <v>High GDP</v>
      </c>
      <c r="T11" s="14" t="str">
        <f t="shared" si="6"/>
        <v>Low performer</v>
      </c>
      <c r="U11" s="8"/>
      <c r="V11" s="8"/>
      <c r="W11" s="8"/>
      <c r="X11" s="8"/>
      <c r="Y11" s="8"/>
      <c r="Z11" s="8"/>
      <c r="AA11" s="8"/>
    </row>
    <row r="12" spans="1:27" x14ac:dyDescent="0.25">
      <c r="A12" s="13" t="s">
        <v>24</v>
      </c>
      <c r="B12" s="1" t="s">
        <v>25</v>
      </c>
      <c r="C12" s="1" t="s">
        <v>10</v>
      </c>
      <c r="D12" s="1">
        <v>10</v>
      </c>
      <c r="E12" s="1">
        <v>7</v>
      </c>
      <c r="F12" s="1">
        <v>3</v>
      </c>
      <c r="G12" s="1">
        <v>20</v>
      </c>
      <c r="H12" s="9" t="str">
        <f t="shared" si="0"/>
        <v>Needs improvement</v>
      </c>
      <c r="I12" s="1">
        <v>48527.83</v>
      </c>
      <c r="J12" s="1">
        <v>2023</v>
      </c>
      <c r="K12" s="1">
        <v>5.2</v>
      </c>
      <c r="L12" s="10">
        <f t="shared" si="1"/>
        <v>0.5</v>
      </c>
      <c r="M12" s="11">
        <f t="shared" si="2"/>
        <v>0.35</v>
      </c>
      <c r="N12" s="11">
        <f t="shared" si="3"/>
        <v>0.15</v>
      </c>
      <c r="O12" s="11">
        <f>Table1456[[#This Row],[Total]]/Table1456[[#This Row],[Population]]</f>
        <v>3.8461538461538458</v>
      </c>
      <c r="P12" s="11">
        <f>(Table1456[[#This Row],[Gold]]*3)+(Table1456[[#This Row],[Silver]]*2)+(Table1456[[#This Row],[Bronze]]*1)</f>
        <v>47</v>
      </c>
      <c r="Q12" s="12">
        <f t="shared" si="4"/>
        <v>2426.3915000000002</v>
      </c>
      <c r="R12" s="12">
        <f>PRODUCT(Table1456[[#This Row],[GDP]]*Table1456[[#This Row],[Gold]])</f>
        <v>485278.30000000005</v>
      </c>
      <c r="S12" s="9" t="str">
        <f t="shared" si="5"/>
        <v>Low GDP</v>
      </c>
      <c r="T12" s="14" t="str">
        <f t="shared" si="6"/>
        <v>Low performer</v>
      </c>
      <c r="U12" s="8"/>
      <c r="V12" s="8"/>
      <c r="W12" s="8"/>
      <c r="X12" s="8"/>
      <c r="Y12" s="8"/>
      <c r="Z12" s="8"/>
      <c r="AA12" s="8"/>
    </row>
    <row r="13" spans="1:27" x14ac:dyDescent="0.25">
      <c r="A13" s="13" t="s">
        <v>26</v>
      </c>
      <c r="B13" s="1" t="s">
        <v>27</v>
      </c>
      <c r="C13" s="1" t="s">
        <v>2</v>
      </c>
      <c r="D13" s="1">
        <v>9</v>
      </c>
      <c r="E13" s="1">
        <v>7</v>
      </c>
      <c r="F13" s="1">
        <v>11</v>
      </c>
      <c r="G13" s="1">
        <v>27</v>
      </c>
      <c r="H13" s="9" t="str">
        <f t="shared" si="0"/>
        <v>Needs improvement</v>
      </c>
      <c r="I13" s="1">
        <v>53371.7</v>
      </c>
      <c r="J13" s="1">
        <v>2023</v>
      </c>
      <c r="K13" s="1">
        <v>40.1</v>
      </c>
      <c r="L13" s="10">
        <f t="shared" si="1"/>
        <v>0.33333333333333331</v>
      </c>
      <c r="M13" s="11">
        <f t="shared" si="2"/>
        <v>0.25925925925925924</v>
      </c>
      <c r="N13" s="11">
        <f t="shared" si="3"/>
        <v>0.40740740740740738</v>
      </c>
      <c r="O13" s="11">
        <f>Table1456[[#This Row],[Total]]/Table1456[[#This Row],[Population]]</f>
        <v>0.67331670822942646</v>
      </c>
      <c r="P13" s="11">
        <f>(Table1456[[#This Row],[Gold]]*3)+(Table1456[[#This Row],[Silver]]*2)+(Table1456[[#This Row],[Bronze]]*1)</f>
        <v>52</v>
      </c>
      <c r="Q13" s="12">
        <f t="shared" si="4"/>
        <v>1976.7296296296295</v>
      </c>
      <c r="R13" s="12">
        <f>PRODUCT(Table1456[[#This Row],[GDP]]*Table1456[[#This Row],[Gold]])</f>
        <v>480345.3</v>
      </c>
      <c r="S13" s="9" t="str">
        <f t="shared" si="5"/>
        <v>High GDP</v>
      </c>
      <c r="T13" s="14" t="str">
        <f t="shared" si="6"/>
        <v>Low performer</v>
      </c>
      <c r="U13" s="8"/>
      <c r="V13" s="8"/>
      <c r="W13" s="8"/>
      <c r="X13" s="8"/>
      <c r="Y13" s="8"/>
      <c r="Z13" s="8"/>
      <c r="AA13" s="8"/>
    </row>
    <row r="14" spans="1:27" x14ac:dyDescent="0.25">
      <c r="A14" s="13" t="s">
        <v>28</v>
      </c>
      <c r="B14" s="1" t="s">
        <v>29</v>
      </c>
      <c r="C14" s="1" t="s">
        <v>5</v>
      </c>
      <c r="D14" s="1">
        <v>8</v>
      </c>
      <c r="E14" s="1">
        <v>2</v>
      </c>
      <c r="F14" s="1">
        <v>3</v>
      </c>
      <c r="G14" s="1">
        <v>13</v>
      </c>
      <c r="H14" s="9" t="str">
        <f t="shared" si="0"/>
        <v>Needs improvement</v>
      </c>
      <c r="I14" s="1">
        <v>2496.11</v>
      </c>
      <c r="J14" s="1">
        <v>2023</v>
      </c>
      <c r="K14" s="1">
        <v>36.4</v>
      </c>
      <c r="L14" s="10">
        <f t="shared" si="1"/>
        <v>0.61538461538461542</v>
      </c>
      <c r="M14" s="11">
        <f t="shared" si="2"/>
        <v>0.15384615384615385</v>
      </c>
      <c r="N14" s="11">
        <f t="shared" si="3"/>
        <v>0.23076923076923078</v>
      </c>
      <c r="O14" s="11">
        <f>Table1456[[#This Row],[Total]]/Table1456[[#This Row],[Population]]</f>
        <v>0.35714285714285715</v>
      </c>
      <c r="P14" s="11">
        <f>(Table1456[[#This Row],[Gold]]*3)+(Table1456[[#This Row],[Silver]]*2)+(Table1456[[#This Row],[Bronze]]*1)</f>
        <v>31</v>
      </c>
      <c r="Q14" s="12">
        <f t="shared" si="4"/>
        <v>192.00846153846155</v>
      </c>
      <c r="R14" s="12">
        <f>PRODUCT(Table1456[[#This Row],[GDP]]*Table1456[[#This Row],[Gold]])</f>
        <v>19968.88</v>
      </c>
      <c r="S14" s="9" t="str">
        <f t="shared" si="5"/>
        <v>Low GDP</v>
      </c>
      <c r="T14" s="14" t="str">
        <f t="shared" si="6"/>
        <v>Low performer</v>
      </c>
      <c r="U14" s="8"/>
      <c r="V14" s="8"/>
      <c r="W14" s="8"/>
      <c r="X14" s="8"/>
      <c r="Y14" s="8"/>
      <c r="Z14" s="8"/>
      <c r="AA14" s="8"/>
    </row>
    <row r="15" spans="1:27" x14ac:dyDescent="0.25">
      <c r="A15" s="13" t="s">
        <v>30</v>
      </c>
      <c r="B15" s="1" t="s">
        <v>31</v>
      </c>
      <c r="C15" s="1" t="s">
        <v>13</v>
      </c>
      <c r="D15" s="1">
        <v>6</v>
      </c>
      <c r="E15" s="1">
        <v>7</v>
      </c>
      <c r="F15" s="1">
        <v>6</v>
      </c>
      <c r="G15" s="1">
        <v>19</v>
      </c>
      <c r="H15" s="9" t="str">
        <f t="shared" si="0"/>
        <v>Needs improvement</v>
      </c>
      <c r="I15" s="1">
        <v>22147.21</v>
      </c>
      <c r="J15" s="1">
        <v>2023</v>
      </c>
      <c r="K15" s="1">
        <v>9.6</v>
      </c>
      <c r="L15" s="10">
        <f t="shared" si="1"/>
        <v>0.31578947368421051</v>
      </c>
      <c r="M15" s="11">
        <f t="shared" si="2"/>
        <v>0.36842105263157893</v>
      </c>
      <c r="N15" s="11">
        <f t="shared" si="3"/>
        <v>0.31578947368421051</v>
      </c>
      <c r="O15" s="11">
        <f>Table1456[[#This Row],[Total]]/Table1456[[#This Row],[Population]]</f>
        <v>1.9791666666666667</v>
      </c>
      <c r="P15" s="11">
        <f>(Table1456[[#This Row],[Gold]]*3)+(Table1456[[#This Row],[Silver]]*2)+(Table1456[[#This Row],[Bronze]]*1)</f>
        <v>38</v>
      </c>
      <c r="Q15" s="12">
        <f t="shared" si="4"/>
        <v>1165.6426315789474</v>
      </c>
      <c r="R15" s="12">
        <f>PRODUCT(Table1456[[#This Row],[GDP]]*Table1456[[#This Row],[Gold]])</f>
        <v>132883.26</v>
      </c>
      <c r="S15" s="9" t="str">
        <f t="shared" si="5"/>
        <v>Low GDP</v>
      </c>
      <c r="T15" s="14" t="str">
        <f t="shared" si="6"/>
        <v>Low performer</v>
      </c>
      <c r="U15" s="8"/>
      <c r="V15" s="8"/>
      <c r="W15" s="8"/>
      <c r="X15" s="8"/>
      <c r="Y15" s="8"/>
      <c r="Z15" s="8"/>
      <c r="AA15" s="8"/>
    </row>
    <row r="16" spans="1:27" x14ac:dyDescent="0.25">
      <c r="A16" s="13" t="s">
        <v>32</v>
      </c>
      <c r="B16" s="1" t="s">
        <v>33</v>
      </c>
      <c r="C16" s="1" t="s">
        <v>13</v>
      </c>
      <c r="D16" s="1">
        <v>5</v>
      </c>
      <c r="E16" s="1">
        <v>4</v>
      </c>
      <c r="F16" s="1">
        <v>9</v>
      </c>
      <c r="G16" s="1">
        <v>18</v>
      </c>
      <c r="H16" s="9" t="str">
        <f t="shared" si="0"/>
        <v>Needs improvement</v>
      </c>
      <c r="I16" s="1">
        <v>32676.98</v>
      </c>
      <c r="J16" s="1">
        <v>2023</v>
      </c>
      <c r="K16" s="1">
        <v>48.4</v>
      </c>
      <c r="L16" s="10">
        <f t="shared" si="1"/>
        <v>0.27777777777777779</v>
      </c>
      <c r="M16" s="11">
        <f t="shared" si="2"/>
        <v>0.22222222222222221</v>
      </c>
      <c r="N16" s="11">
        <f t="shared" si="3"/>
        <v>0.5</v>
      </c>
      <c r="O16" s="11">
        <f>Table1456[[#This Row],[Total]]/Table1456[[#This Row],[Population]]</f>
        <v>0.37190082644628103</v>
      </c>
      <c r="P16" s="11">
        <f>(Table1456[[#This Row],[Gold]]*3)+(Table1456[[#This Row],[Silver]]*2)+(Table1456[[#This Row],[Bronze]]*1)</f>
        <v>32</v>
      </c>
      <c r="Q16" s="12">
        <f t="shared" si="4"/>
        <v>1815.3877777777777</v>
      </c>
      <c r="R16" s="12">
        <f>PRODUCT(Table1456[[#This Row],[GDP]]*Table1456[[#This Row],[Gold]])</f>
        <v>163384.9</v>
      </c>
      <c r="S16" s="9" t="str">
        <f t="shared" si="5"/>
        <v>Low GDP</v>
      </c>
      <c r="T16" s="14" t="str">
        <f t="shared" si="6"/>
        <v>Low performer</v>
      </c>
      <c r="U16" s="8"/>
      <c r="V16" s="8"/>
      <c r="W16" s="8"/>
      <c r="X16" s="8"/>
      <c r="Y16" s="8"/>
      <c r="Z16" s="8"/>
      <c r="AA16" s="8"/>
    </row>
    <row r="17" spans="1:27" x14ac:dyDescent="0.25">
      <c r="A17" s="13" t="s">
        <v>34</v>
      </c>
      <c r="B17" s="1" t="s">
        <v>35</v>
      </c>
      <c r="C17" s="1" t="s">
        <v>13</v>
      </c>
      <c r="D17" s="1">
        <v>4</v>
      </c>
      <c r="E17" s="1">
        <v>4</v>
      </c>
      <c r="F17" s="1">
        <v>3</v>
      </c>
      <c r="G17" s="1">
        <v>11</v>
      </c>
      <c r="H17" s="9" t="str">
        <f t="shared" si="0"/>
        <v>Needs improvement</v>
      </c>
      <c r="I17" s="1">
        <v>56305.25</v>
      </c>
      <c r="J17" s="1">
        <v>2023</v>
      </c>
      <c r="K17" s="1">
        <v>10.5</v>
      </c>
      <c r="L17" s="10">
        <f t="shared" si="1"/>
        <v>0.36363636363636365</v>
      </c>
      <c r="M17" s="11">
        <f t="shared" si="2"/>
        <v>0.36363636363636365</v>
      </c>
      <c r="N17" s="11">
        <f t="shared" si="3"/>
        <v>0.27272727272727271</v>
      </c>
      <c r="O17" s="11">
        <f>Table1456[[#This Row],[Total]]/Table1456[[#This Row],[Population]]</f>
        <v>1.0476190476190477</v>
      </c>
      <c r="P17" s="11">
        <f>(Table1456[[#This Row],[Gold]]*3)+(Table1456[[#This Row],[Silver]]*2)+(Table1456[[#This Row],[Bronze]]*1)</f>
        <v>23</v>
      </c>
      <c r="Q17" s="12">
        <f t="shared" si="4"/>
        <v>5118.659090909091</v>
      </c>
      <c r="R17" s="12">
        <f>PRODUCT(Table1456[[#This Row],[GDP]]*Table1456[[#This Row],[Gold]])</f>
        <v>225221</v>
      </c>
      <c r="S17" s="9" t="str">
        <f t="shared" si="5"/>
        <v>High GDP</v>
      </c>
      <c r="T17" s="14" t="str">
        <f t="shared" si="6"/>
        <v>Low performer</v>
      </c>
      <c r="U17" s="8"/>
      <c r="V17" s="8"/>
      <c r="W17" s="8"/>
      <c r="X17" s="8"/>
      <c r="Y17" s="8"/>
      <c r="Z17" s="8"/>
      <c r="AA17" s="8"/>
    </row>
    <row r="18" spans="1:27" x14ac:dyDescent="0.25">
      <c r="A18" s="13" t="s">
        <v>36</v>
      </c>
      <c r="B18" s="1" t="s">
        <v>37</v>
      </c>
      <c r="C18" s="1" t="s">
        <v>38</v>
      </c>
      <c r="D18" s="1">
        <v>4</v>
      </c>
      <c r="E18" s="1">
        <v>2</v>
      </c>
      <c r="F18" s="1">
        <v>5</v>
      </c>
      <c r="G18" s="1">
        <v>11</v>
      </c>
      <c r="H18" s="9" t="str">
        <f t="shared" si="0"/>
        <v>Needs improvement</v>
      </c>
      <c r="I18" s="1">
        <v>1949.9</v>
      </c>
      <c r="J18" s="1">
        <v>2023</v>
      </c>
      <c r="K18" s="1">
        <v>55.1</v>
      </c>
      <c r="L18" s="10">
        <f t="shared" si="1"/>
        <v>0.36363636363636365</v>
      </c>
      <c r="M18" s="11">
        <f t="shared" si="2"/>
        <v>0.18181818181818182</v>
      </c>
      <c r="N18" s="11">
        <f t="shared" si="3"/>
        <v>0.45454545454545453</v>
      </c>
      <c r="O18" s="11">
        <f>Table1456[[#This Row],[Total]]/Table1456[[#This Row],[Population]]</f>
        <v>0.19963702359346641</v>
      </c>
      <c r="P18" s="11">
        <f>(Table1456[[#This Row],[Gold]]*3)+(Table1456[[#This Row],[Silver]]*2)+(Table1456[[#This Row],[Bronze]]*1)</f>
        <v>21</v>
      </c>
      <c r="Q18" s="12">
        <f t="shared" si="4"/>
        <v>177.26363636363638</v>
      </c>
      <c r="R18" s="12">
        <f>PRODUCT(Table1456[[#This Row],[GDP]]*Table1456[[#This Row],[Gold]])</f>
        <v>7799.6</v>
      </c>
      <c r="S18" s="9" t="str">
        <f t="shared" si="5"/>
        <v>Low GDP</v>
      </c>
      <c r="T18" s="14" t="str">
        <f t="shared" si="6"/>
        <v>Low performer</v>
      </c>
      <c r="U18" s="8"/>
      <c r="V18" s="8"/>
      <c r="W18" s="8"/>
      <c r="X18" s="8"/>
      <c r="Y18" s="8"/>
      <c r="Z18" s="8"/>
      <c r="AA18" s="8"/>
    </row>
    <row r="19" spans="1:27" x14ac:dyDescent="0.25">
      <c r="A19" s="13" t="s">
        <v>39</v>
      </c>
      <c r="B19" s="1" t="s">
        <v>40</v>
      </c>
      <c r="C19" s="1" t="s">
        <v>13</v>
      </c>
      <c r="D19" s="1">
        <v>4</v>
      </c>
      <c r="E19" s="1">
        <v>1</v>
      </c>
      <c r="F19" s="1">
        <v>3</v>
      </c>
      <c r="G19" s="1">
        <v>8</v>
      </c>
      <c r="H19" s="9" t="str">
        <f t="shared" si="0"/>
        <v>Needs improvement</v>
      </c>
      <c r="I19" s="1">
        <v>87961.78</v>
      </c>
      <c r="J19" s="1">
        <v>2023</v>
      </c>
      <c r="K19" s="1">
        <v>5.5</v>
      </c>
      <c r="L19" s="10">
        <f t="shared" si="1"/>
        <v>0.5</v>
      </c>
      <c r="M19" s="11">
        <f t="shared" si="2"/>
        <v>0.125</v>
      </c>
      <c r="N19" s="11">
        <f t="shared" si="3"/>
        <v>0.375</v>
      </c>
      <c r="O19" s="11">
        <f>Table1456[[#This Row],[Total]]/Table1456[[#This Row],[Population]]</f>
        <v>1.4545454545454546</v>
      </c>
      <c r="P19" s="11">
        <f>(Table1456[[#This Row],[Gold]]*3)+(Table1456[[#This Row],[Silver]]*2)+(Table1456[[#This Row],[Bronze]]*1)</f>
        <v>17</v>
      </c>
      <c r="Q19" s="12">
        <f t="shared" si="4"/>
        <v>10995.2225</v>
      </c>
      <c r="R19" s="12">
        <f>PRODUCT(Table1456[[#This Row],[GDP]]*Table1456[[#This Row],[Gold]])</f>
        <v>351847.12</v>
      </c>
      <c r="S19" s="9" t="str">
        <f t="shared" si="5"/>
        <v>High GDP</v>
      </c>
      <c r="T19" s="14" t="str">
        <f t="shared" si="6"/>
        <v>Low performer</v>
      </c>
      <c r="U19" s="8"/>
      <c r="V19" s="8"/>
      <c r="W19" s="8"/>
      <c r="X19" s="8"/>
      <c r="Y19" s="8"/>
      <c r="Z19" s="8"/>
      <c r="AA19" s="8"/>
    </row>
    <row r="20" spans="1:27" x14ac:dyDescent="0.25">
      <c r="A20" s="13" t="s">
        <v>41</v>
      </c>
      <c r="B20" s="1" t="s">
        <v>42</v>
      </c>
      <c r="C20" s="1" t="s">
        <v>13</v>
      </c>
      <c r="D20" s="1">
        <v>4</v>
      </c>
      <c r="E20" s="1">
        <v>0</v>
      </c>
      <c r="F20" s="1">
        <v>3</v>
      </c>
      <c r="G20" s="1">
        <v>7</v>
      </c>
      <c r="H20" s="9" t="str">
        <f t="shared" si="0"/>
        <v>Needs improvement</v>
      </c>
      <c r="I20" s="1">
        <v>103684.88</v>
      </c>
      <c r="J20" s="1">
        <v>2023</v>
      </c>
      <c r="K20" s="1">
        <v>5.3</v>
      </c>
      <c r="L20" s="10">
        <f t="shared" si="1"/>
        <v>0.5714285714285714</v>
      </c>
      <c r="M20" s="11">
        <f t="shared" si="2"/>
        <v>0</v>
      </c>
      <c r="N20" s="11">
        <f>F20/G20</f>
        <v>0.42857142857142855</v>
      </c>
      <c r="O20" s="11">
        <f>Table1456[[#This Row],[Total]]/Table1456[[#This Row],[Population]]</f>
        <v>1.3207547169811322</v>
      </c>
      <c r="P20" s="11">
        <f>(Table1456[[#This Row],[Gold]]*3)+(Table1456[[#This Row],[Silver]]*2)+(Table1456[[#This Row],[Bronze]]*1)</f>
        <v>15</v>
      </c>
      <c r="Q20" s="12">
        <f>I20/G20</f>
        <v>14812.125714285716</v>
      </c>
      <c r="R20" s="12">
        <f>PRODUCT(Table1456[[#This Row],[GDP]]*Table1456[[#This Row],[Gold]])</f>
        <v>414739.52</v>
      </c>
      <c r="S20" s="9" t="str">
        <f t="shared" si="5"/>
        <v>High GDP</v>
      </c>
      <c r="T20" s="14" t="str">
        <f t="shared" si="6"/>
        <v>Low performer</v>
      </c>
      <c r="U20" s="8"/>
      <c r="V20" s="8"/>
      <c r="W20" s="8"/>
      <c r="X20" s="8"/>
      <c r="Y20" s="8"/>
      <c r="Z20" s="8"/>
      <c r="AA20" s="8"/>
    </row>
    <row r="21" spans="1:27" x14ac:dyDescent="0.25">
      <c r="A21" s="13" t="s">
        <v>43</v>
      </c>
      <c r="B21" s="1" t="s">
        <v>44</v>
      </c>
      <c r="C21" s="1" t="s">
        <v>45</v>
      </c>
      <c r="D21" s="1">
        <v>3</v>
      </c>
      <c r="E21" s="1">
        <v>7</v>
      </c>
      <c r="F21" s="1">
        <v>10</v>
      </c>
      <c r="G21" s="1">
        <v>20</v>
      </c>
      <c r="H21" s="9" t="str">
        <f t="shared" si="0"/>
        <v>Needs improvement</v>
      </c>
      <c r="I21" s="1">
        <v>10043.620000000001</v>
      </c>
      <c r="J21" s="1">
        <v>2023</v>
      </c>
      <c r="K21" s="1">
        <v>216.4</v>
      </c>
      <c r="L21" s="10">
        <f t="shared" si="1"/>
        <v>0.15</v>
      </c>
      <c r="M21" s="11">
        <f t="shared" si="2"/>
        <v>0.35</v>
      </c>
      <c r="N21" s="11">
        <f t="shared" si="3"/>
        <v>0.5</v>
      </c>
      <c r="O21" s="11">
        <f>Table1456[[#This Row],[Total]]/Table1456[[#This Row],[Population]]</f>
        <v>9.2421441774491686E-2</v>
      </c>
      <c r="P21" s="11">
        <f>(Table1456[[#This Row],[Gold]]*3)+(Table1456[[#This Row],[Silver]]*2)+(Table1456[[#This Row],[Bronze]]*1)</f>
        <v>33</v>
      </c>
      <c r="Q21" s="12">
        <f t="shared" si="4"/>
        <v>502.18100000000004</v>
      </c>
      <c r="R21" s="12">
        <f>PRODUCT(Table1456[[#This Row],[GDP]]*Table1456[[#This Row],[Gold]])</f>
        <v>30130.86</v>
      </c>
      <c r="S21" s="9" t="str">
        <f t="shared" si="5"/>
        <v>Low GDP</v>
      </c>
      <c r="T21" s="14" t="str">
        <f t="shared" si="6"/>
        <v>Low performer</v>
      </c>
      <c r="U21" s="8"/>
      <c r="V21" s="8"/>
      <c r="W21" s="8"/>
      <c r="X21" s="8"/>
      <c r="Y21" s="8"/>
      <c r="Z21" s="8"/>
      <c r="AA21" s="8"/>
    </row>
    <row r="22" spans="1:27" x14ac:dyDescent="0.25">
      <c r="A22" s="13" t="s">
        <v>46</v>
      </c>
      <c r="B22" s="1" t="s">
        <v>47</v>
      </c>
      <c r="C22" s="1" t="s">
        <v>5</v>
      </c>
      <c r="D22" s="1">
        <v>3</v>
      </c>
      <c r="E22" s="1">
        <v>6</v>
      </c>
      <c r="F22" s="1">
        <v>3</v>
      </c>
      <c r="G22" s="1">
        <v>12</v>
      </c>
      <c r="H22" s="9" t="str">
        <f t="shared" si="0"/>
        <v>Needs improvement</v>
      </c>
      <c r="I22" s="1">
        <v>4502.55</v>
      </c>
      <c r="J22" s="1">
        <v>2023</v>
      </c>
      <c r="K22" s="1">
        <v>89.2</v>
      </c>
      <c r="L22" s="10">
        <f t="shared" si="1"/>
        <v>0.25</v>
      </c>
      <c r="M22" s="11">
        <f t="shared" si="2"/>
        <v>0.5</v>
      </c>
      <c r="N22" s="11">
        <f t="shared" si="3"/>
        <v>0.25</v>
      </c>
      <c r="O22" s="11">
        <f>Table1456[[#This Row],[Total]]/Table1456[[#This Row],[Population]]</f>
        <v>0.13452914798206278</v>
      </c>
      <c r="P22" s="11">
        <f>(Table1456[[#This Row],[Gold]]*3)+(Table1456[[#This Row],[Silver]]*2)+(Table1456[[#This Row],[Bronze]]*1)</f>
        <v>24</v>
      </c>
      <c r="Q22" s="12">
        <f t="shared" si="4"/>
        <v>375.21250000000003</v>
      </c>
      <c r="R22" s="12">
        <f>PRODUCT(Table1456[[#This Row],[GDP]]*Table1456[[#This Row],[Gold]])</f>
        <v>13507.650000000001</v>
      </c>
      <c r="S22" s="9" t="str">
        <f t="shared" si="5"/>
        <v>Low GDP</v>
      </c>
      <c r="T22" s="14" t="str">
        <f t="shared" si="6"/>
        <v>Low performer</v>
      </c>
      <c r="U22" s="8"/>
      <c r="V22" s="8"/>
      <c r="W22" s="8"/>
      <c r="X22" s="8"/>
      <c r="Y22" s="8"/>
      <c r="Z22" s="8"/>
      <c r="AA22" s="8"/>
    </row>
    <row r="23" spans="1:27" x14ac:dyDescent="0.25">
      <c r="A23" s="13" t="s">
        <v>48</v>
      </c>
      <c r="B23" s="1" t="s">
        <v>49</v>
      </c>
      <c r="C23" s="1" t="s">
        <v>13</v>
      </c>
      <c r="D23" s="1">
        <v>3</v>
      </c>
      <c r="E23" s="1">
        <v>5</v>
      </c>
      <c r="F23" s="1">
        <v>4</v>
      </c>
      <c r="G23" s="1">
        <v>12</v>
      </c>
      <c r="H23" s="9" t="str">
        <f t="shared" si="0"/>
        <v>Needs improvement</v>
      </c>
      <c r="I23" s="1">
        <v>5181.3599999999997</v>
      </c>
      <c r="J23" s="1">
        <v>2023</v>
      </c>
      <c r="K23" s="1">
        <v>37</v>
      </c>
      <c r="L23" s="10">
        <f t="shared" si="1"/>
        <v>0.25</v>
      </c>
      <c r="M23" s="11">
        <f t="shared" si="2"/>
        <v>0.41666666666666669</v>
      </c>
      <c r="N23" s="11">
        <f t="shared" si="3"/>
        <v>0.33333333333333331</v>
      </c>
      <c r="O23" s="11">
        <f>Table1456[[#This Row],[Total]]/Table1456[[#This Row],[Population]]</f>
        <v>0.32432432432432434</v>
      </c>
      <c r="P23" s="11">
        <f>(Table1456[[#This Row],[Gold]]*3)+(Table1456[[#This Row],[Silver]]*2)+(Table1456[[#This Row],[Bronze]]*1)</f>
        <v>23</v>
      </c>
      <c r="Q23" s="12">
        <f t="shared" si="4"/>
        <v>431.78</v>
      </c>
      <c r="R23" s="12">
        <f>PRODUCT(Table1456[[#This Row],[GDP]]*Table1456[[#This Row],[Gold]])</f>
        <v>15544.079999999998</v>
      </c>
      <c r="S23" s="9" t="str">
        <f t="shared" si="5"/>
        <v>Low GDP</v>
      </c>
      <c r="T23" s="14" t="str">
        <f t="shared" si="6"/>
        <v>Low performer</v>
      </c>
      <c r="U23" s="8"/>
      <c r="V23" s="8"/>
      <c r="W23" s="8"/>
      <c r="X23" s="8"/>
      <c r="Y23" s="8"/>
      <c r="Z23" s="8"/>
      <c r="AA23" s="8"/>
    </row>
    <row r="24" spans="1:27" x14ac:dyDescent="0.25">
      <c r="A24" s="13" t="s">
        <v>50</v>
      </c>
      <c r="B24" s="1" t="s">
        <v>51</v>
      </c>
      <c r="C24" s="1" t="s">
        <v>13</v>
      </c>
      <c r="D24" s="1">
        <v>3</v>
      </c>
      <c r="E24" s="1">
        <v>4</v>
      </c>
      <c r="F24" s="1">
        <v>2</v>
      </c>
      <c r="G24" s="1">
        <v>9</v>
      </c>
      <c r="H24" s="9" t="str">
        <f t="shared" si="0"/>
        <v>Needs improvement</v>
      </c>
      <c r="I24" s="1">
        <v>18419.419999999998</v>
      </c>
      <c r="J24" s="1">
        <v>2023</v>
      </c>
      <c r="K24" s="1">
        <v>19.100000000000001</v>
      </c>
      <c r="L24" s="10">
        <f t="shared" si="1"/>
        <v>0.33333333333333331</v>
      </c>
      <c r="M24" s="11">
        <f t="shared" si="2"/>
        <v>0.44444444444444442</v>
      </c>
      <c r="N24" s="11">
        <f t="shared" si="3"/>
        <v>0.22222222222222221</v>
      </c>
      <c r="O24" s="11">
        <f>Table1456[[#This Row],[Total]]/Table1456[[#This Row],[Population]]</f>
        <v>0.47120418848167533</v>
      </c>
      <c r="P24" s="11">
        <f>(Table1456[[#This Row],[Gold]]*3)+(Table1456[[#This Row],[Silver]]*2)+(Table1456[[#This Row],[Bronze]]*1)</f>
        <v>19</v>
      </c>
      <c r="Q24" s="12">
        <f t="shared" si="4"/>
        <v>2046.6022222222221</v>
      </c>
      <c r="R24" s="12">
        <f>PRODUCT(Table1456[[#This Row],[GDP]]*Table1456[[#This Row],[Gold]])</f>
        <v>55258.259999999995</v>
      </c>
      <c r="S24" s="9" t="str">
        <f t="shared" si="5"/>
        <v>Low GDP</v>
      </c>
      <c r="T24" s="14" t="str">
        <f t="shared" si="6"/>
        <v>Low performer</v>
      </c>
      <c r="U24" s="8"/>
      <c r="V24" s="8"/>
      <c r="W24" s="8"/>
      <c r="X24" s="8"/>
      <c r="Y24" s="8"/>
      <c r="Z24" s="8"/>
      <c r="AA24" s="8"/>
    </row>
    <row r="25" spans="1:27" x14ac:dyDescent="0.25">
      <c r="A25" s="13" t="s">
        <v>52</v>
      </c>
      <c r="B25" s="1" t="s">
        <v>53</v>
      </c>
      <c r="C25" s="1" t="s">
        <v>13</v>
      </c>
      <c r="D25" s="1">
        <v>3</v>
      </c>
      <c r="E25" s="1">
        <v>3</v>
      </c>
      <c r="F25" s="1">
        <v>1</v>
      </c>
      <c r="G25" s="1">
        <v>7</v>
      </c>
      <c r="H25" s="9" t="str">
        <f t="shared" si="0"/>
        <v>Needs improvement</v>
      </c>
      <c r="I25" s="1">
        <v>8120.36</v>
      </c>
      <c r="J25" s="1">
        <v>2023</v>
      </c>
      <c r="K25" s="1">
        <v>3.8</v>
      </c>
      <c r="L25" s="10">
        <f t="shared" si="1"/>
        <v>0.42857142857142855</v>
      </c>
      <c r="M25" s="11">
        <f t="shared" si="2"/>
        <v>0.42857142857142855</v>
      </c>
      <c r="N25" s="11">
        <f t="shared" si="3"/>
        <v>0.14285714285714285</v>
      </c>
      <c r="O25" s="11">
        <f>Table1456[[#This Row],[Total]]/Table1456[[#This Row],[Population]]</f>
        <v>1.8421052631578949</v>
      </c>
      <c r="P25" s="11">
        <f>(Table1456[[#This Row],[Gold]]*3)+(Table1456[[#This Row],[Silver]]*2)+(Table1456[[#This Row],[Bronze]]*1)</f>
        <v>16</v>
      </c>
      <c r="Q25" s="12">
        <f t="shared" si="4"/>
        <v>1160.0514285714285</v>
      </c>
      <c r="R25" s="12">
        <f>PRODUCT(Table1456[[#This Row],[GDP]]*Table1456[[#This Row],[Gold]])</f>
        <v>24361.079999999998</v>
      </c>
      <c r="S25" s="9" t="str">
        <f t="shared" si="5"/>
        <v>Low GDP</v>
      </c>
      <c r="T25" s="14" t="str">
        <f t="shared" si="6"/>
        <v>Low performer</v>
      </c>
      <c r="U25" s="8"/>
      <c r="V25" s="8"/>
      <c r="W25" s="8"/>
      <c r="X25" s="8"/>
      <c r="Y25" s="8"/>
      <c r="Z25" s="8"/>
      <c r="AA25" s="8"/>
    </row>
    <row r="26" spans="1:27" x14ac:dyDescent="0.25">
      <c r="A26" s="13" t="s">
        <v>54</v>
      </c>
      <c r="B26" s="1" t="s">
        <v>55</v>
      </c>
      <c r="C26" s="1" t="s">
        <v>13</v>
      </c>
      <c r="D26" s="1">
        <v>3</v>
      </c>
      <c r="E26" s="1">
        <v>1</v>
      </c>
      <c r="F26" s="1">
        <v>6</v>
      </c>
      <c r="G26" s="1">
        <v>10</v>
      </c>
      <c r="H26" s="9" t="str">
        <f t="shared" si="0"/>
        <v>Needs improvement</v>
      </c>
      <c r="I26" s="1">
        <v>53475.29</v>
      </c>
      <c r="J26" s="1">
        <v>2023</v>
      </c>
      <c r="K26" s="1">
        <v>11.8</v>
      </c>
      <c r="L26" s="10">
        <f t="shared" si="1"/>
        <v>0.3</v>
      </c>
      <c r="M26" s="11">
        <f t="shared" si="2"/>
        <v>0.1</v>
      </c>
      <c r="N26" s="11">
        <f t="shared" si="3"/>
        <v>0.6</v>
      </c>
      <c r="O26" s="11">
        <f>Table1456[[#This Row],[Total]]/Table1456[[#This Row],[Population]]</f>
        <v>0.84745762711864403</v>
      </c>
      <c r="P26" s="11">
        <f>(Table1456[[#This Row],[Gold]]*3)+(Table1456[[#This Row],[Silver]]*2)+(Table1456[[#This Row],[Bronze]]*1)</f>
        <v>17</v>
      </c>
      <c r="Q26" s="12">
        <f t="shared" si="4"/>
        <v>5347.5290000000005</v>
      </c>
      <c r="R26" s="12">
        <f>PRODUCT(Table1456[[#This Row],[GDP]]*Table1456[[#This Row],[Gold]])</f>
        <v>160425.87</v>
      </c>
      <c r="S26" s="9" t="str">
        <f t="shared" si="5"/>
        <v>High GDP</v>
      </c>
      <c r="T26" s="14" t="str">
        <f t="shared" si="6"/>
        <v>Low performer</v>
      </c>
      <c r="U26" s="8"/>
      <c r="V26" s="8"/>
      <c r="W26" s="8"/>
      <c r="X26" s="8"/>
      <c r="Y26" s="8"/>
      <c r="Z26" s="8"/>
      <c r="AA26" s="8"/>
    </row>
    <row r="27" spans="1:27" x14ac:dyDescent="0.25">
      <c r="A27" s="13" t="s">
        <v>56</v>
      </c>
      <c r="B27" s="1" t="s">
        <v>57</v>
      </c>
      <c r="C27" s="1" t="s">
        <v>13</v>
      </c>
      <c r="D27" s="1">
        <v>3</v>
      </c>
      <c r="E27" s="1">
        <v>1</v>
      </c>
      <c r="F27" s="1">
        <v>3</v>
      </c>
      <c r="G27" s="1">
        <v>7</v>
      </c>
      <c r="H27" s="9" t="str">
        <f t="shared" si="0"/>
        <v>Needs improvement</v>
      </c>
      <c r="I27" s="1">
        <v>15797.6</v>
      </c>
      <c r="J27" s="1">
        <v>2023</v>
      </c>
      <c r="K27" s="1">
        <v>6.4</v>
      </c>
      <c r="L27" s="10">
        <f t="shared" si="1"/>
        <v>0.42857142857142855</v>
      </c>
      <c r="M27" s="11">
        <f t="shared" si="2"/>
        <v>0.14285714285714285</v>
      </c>
      <c r="N27" s="11">
        <f t="shared" si="3"/>
        <v>0.42857142857142855</v>
      </c>
      <c r="O27" s="11">
        <f>Table1456[[#This Row],[Total]]/Table1456[[#This Row],[Population]]</f>
        <v>1.09375</v>
      </c>
      <c r="P27" s="11">
        <f>(Table1456[[#This Row],[Gold]]*3)+(Table1456[[#This Row],[Silver]]*2)+(Table1456[[#This Row],[Bronze]]*1)</f>
        <v>14</v>
      </c>
      <c r="Q27" s="12">
        <f t="shared" si="4"/>
        <v>2256.8000000000002</v>
      </c>
      <c r="R27" s="12">
        <f>PRODUCT(Table1456[[#This Row],[GDP]]*Table1456[[#This Row],[Gold]])</f>
        <v>47392.800000000003</v>
      </c>
      <c r="S27" s="9" t="str">
        <f t="shared" si="5"/>
        <v>Low GDP</v>
      </c>
      <c r="T27" s="14" t="str">
        <f t="shared" si="6"/>
        <v>Low performer</v>
      </c>
      <c r="U27" s="8"/>
      <c r="V27" s="8"/>
      <c r="W27" s="8"/>
      <c r="X27" s="8"/>
      <c r="Y27" s="8"/>
      <c r="Z27" s="8"/>
      <c r="AA27" s="8"/>
    </row>
    <row r="28" spans="1:27" x14ac:dyDescent="0.25">
      <c r="A28" s="13" t="s">
        <v>58</v>
      </c>
      <c r="B28" s="1" t="s">
        <v>59</v>
      </c>
      <c r="C28" s="1" t="s">
        <v>13</v>
      </c>
      <c r="D28" s="1">
        <v>3</v>
      </c>
      <c r="E28" s="1">
        <v>1</v>
      </c>
      <c r="F28" s="1">
        <v>1</v>
      </c>
      <c r="G28" s="1">
        <v>5</v>
      </c>
      <c r="H28" s="9" t="str">
        <f t="shared" si="0"/>
        <v>Needs improvement</v>
      </c>
      <c r="I28" s="1">
        <v>11360.96</v>
      </c>
      <c r="J28" s="1">
        <v>2023</v>
      </c>
      <c r="K28" s="1">
        <v>6.6</v>
      </c>
      <c r="L28" s="10">
        <f t="shared" si="1"/>
        <v>0.6</v>
      </c>
      <c r="M28" s="11">
        <f t="shared" si="2"/>
        <v>0.2</v>
      </c>
      <c r="N28" s="11">
        <f t="shared" si="3"/>
        <v>0.2</v>
      </c>
      <c r="O28" s="11">
        <f>Table1456[[#This Row],[Total]]/Table1456[[#This Row],[Population]]</f>
        <v>0.75757575757575757</v>
      </c>
      <c r="P28" s="11">
        <f>(Table1456[[#This Row],[Gold]]*3)+(Table1456[[#This Row],[Silver]]*2)+(Table1456[[#This Row],[Bronze]]*1)</f>
        <v>12</v>
      </c>
      <c r="Q28" s="12">
        <f t="shared" si="4"/>
        <v>2272.192</v>
      </c>
      <c r="R28" s="12">
        <f>PRODUCT(Table1456[[#This Row],[GDP]]*Table1456[[#This Row],[Gold]])</f>
        <v>34082.879999999997</v>
      </c>
      <c r="S28" s="9" t="str">
        <f t="shared" si="5"/>
        <v>Low GDP</v>
      </c>
      <c r="T28" s="14" t="str">
        <f t="shared" si="6"/>
        <v>Low performer</v>
      </c>
      <c r="U28" s="8"/>
      <c r="V28" s="8"/>
      <c r="W28" s="8"/>
      <c r="X28" s="8"/>
      <c r="Y28" s="8"/>
      <c r="Z28" s="8"/>
      <c r="AA28" s="8"/>
    </row>
    <row r="29" spans="1:27" x14ac:dyDescent="0.25">
      <c r="A29" s="13" t="s">
        <v>60</v>
      </c>
      <c r="B29" s="1" t="s">
        <v>61</v>
      </c>
      <c r="C29" s="1" t="s">
        <v>13</v>
      </c>
      <c r="D29" s="1">
        <v>3</v>
      </c>
      <c r="E29" s="1">
        <v>0</v>
      </c>
      <c r="F29" s="1">
        <v>2</v>
      </c>
      <c r="G29" s="1">
        <v>5</v>
      </c>
      <c r="H29" s="9" t="str">
        <f t="shared" si="0"/>
        <v>Needs improvement</v>
      </c>
      <c r="I29" s="1">
        <v>30427.42</v>
      </c>
      <c r="J29" s="1">
        <v>2023</v>
      </c>
      <c r="K29" s="1">
        <v>10.9</v>
      </c>
      <c r="L29" s="10">
        <f t="shared" si="1"/>
        <v>0.6</v>
      </c>
      <c r="M29" s="11">
        <f t="shared" si="2"/>
        <v>0</v>
      </c>
      <c r="N29" s="11">
        <f t="shared" si="3"/>
        <v>0.4</v>
      </c>
      <c r="O29" s="11">
        <f>Table1456[[#This Row],[Total]]/Table1456[[#This Row],[Population]]</f>
        <v>0.4587155963302752</v>
      </c>
      <c r="P29" s="11">
        <f>(Table1456[[#This Row],[Gold]]*3)+(Table1456[[#This Row],[Silver]]*2)+(Table1456[[#This Row],[Bronze]]*1)</f>
        <v>11</v>
      </c>
      <c r="Q29" s="12">
        <f t="shared" si="4"/>
        <v>6085.4839999999995</v>
      </c>
      <c r="R29" s="12">
        <f>PRODUCT(Table1456[[#This Row],[GDP]]*Table1456[[#This Row],[Gold]])</f>
        <v>91282.26</v>
      </c>
      <c r="S29" s="9" t="str">
        <f t="shared" si="5"/>
        <v>Low GDP</v>
      </c>
      <c r="T29" s="14" t="str">
        <f t="shared" si="6"/>
        <v>Low performer</v>
      </c>
      <c r="U29" s="8"/>
      <c r="V29" s="8"/>
      <c r="W29" s="8"/>
      <c r="X29" s="8"/>
      <c r="Y29" s="8"/>
      <c r="Z29" s="8"/>
      <c r="AA29" s="8"/>
    </row>
    <row r="30" spans="1:27" x14ac:dyDescent="0.25">
      <c r="A30" s="13" t="s">
        <v>62</v>
      </c>
      <c r="B30" s="1" t="s">
        <v>63</v>
      </c>
      <c r="C30" s="1" t="s">
        <v>13</v>
      </c>
      <c r="D30" s="1">
        <v>2</v>
      </c>
      <c r="E30" s="1">
        <v>2</v>
      </c>
      <c r="F30" s="1">
        <v>5</v>
      </c>
      <c r="G30" s="1">
        <v>9</v>
      </c>
      <c r="H30" s="9" t="str">
        <f t="shared" si="0"/>
        <v>Needs improvement</v>
      </c>
      <c r="I30" s="1">
        <v>67967.38</v>
      </c>
      <c r="J30" s="1">
        <v>2023</v>
      </c>
      <c r="K30" s="1">
        <v>5.9</v>
      </c>
      <c r="L30" s="10">
        <f t="shared" si="1"/>
        <v>0.22222222222222221</v>
      </c>
      <c r="M30" s="11">
        <f t="shared" si="2"/>
        <v>0.22222222222222221</v>
      </c>
      <c r="N30" s="11">
        <f t="shared" si="3"/>
        <v>0.55555555555555558</v>
      </c>
      <c r="O30" s="11">
        <f>Table1456[[#This Row],[Total]]/Table1456[[#This Row],[Population]]</f>
        <v>1.5254237288135593</v>
      </c>
      <c r="P30" s="11">
        <f>(Table1456[[#This Row],[Gold]]*3)+(Table1456[[#This Row],[Silver]]*2)+(Table1456[[#This Row],[Bronze]]*1)</f>
        <v>15</v>
      </c>
      <c r="Q30" s="12">
        <f t="shared" si="4"/>
        <v>7551.9311111111119</v>
      </c>
      <c r="R30" s="12">
        <f>PRODUCT(Table1456[[#This Row],[GDP]]*Table1456[[#This Row],[Gold]])</f>
        <v>135934.76</v>
      </c>
      <c r="S30" s="9" t="str">
        <f t="shared" si="5"/>
        <v>High GDP</v>
      </c>
      <c r="T30" s="14" t="str">
        <f t="shared" si="6"/>
        <v>Low performer</v>
      </c>
      <c r="U30" s="8"/>
      <c r="V30" s="8"/>
      <c r="W30" s="8"/>
      <c r="X30" s="8"/>
      <c r="Y30" s="8"/>
      <c r="Z30" s="8"/>
      <c r="AA30" s="8"/>
    </row>
    <row r="31" spans="1:27" x14ac:dyDescent="0.25">
      <c r="A31" s="13" t="s">
        <v>64</v>
      </c>
      <c r="B31" s="1" t="s">
        <v>65</v>
      </c>
      <c r="C31" s="1" t="s">
        <v>5</v>
      </c>
      <c r="D31" s="1">
        <v>2</v>
      </c>
      <c r="E31" s="1">
        <v>2</v>
      </c>
      <c r="F31" s="1">
        <v>3</v>
      </c>
      <c r="G31" s="1">
        <v>7</v>
      </c>
      <c r="H31" s="9" t="str">
        <f t="shared" si="0"/>
        <v>Needs improvement</v>
      </c>
      <c r="I31" s="1">
        <v>7155.08</v>
      </c>
      <c r="J31" s="1">
        <v>2023</v>
      </c>
      <c r="K31" s="1">
        <v>10.1</v>
      </c>
      <c r="L31" s="10">
        <f t="shared" si="1"/>
        <v>0.2857142857142857</v>
      </c>
      <c r="M31" s="11">
        <f t="shared" si="2"/>
        <v>0.2857142857142857</v>
      </c>
      <c r="N31" s="11">
        <f t="shared" si="3"/>
        <v>0.42857142857142855</v>
      </c>
      <c r="O31" s="11">
        <f>Table1456[[#This Row],[Total]]/Table1456[[#This Row],[Population]]</f>
        <v>0.69306930693069313</v>
      </c>
      <c r="P31" s="11">
        <f>(Table1456[[#This Row],[Gold]]*3)+(Table1456[[#This Row],[Silver]]*2)+(Table1456[[#This Row],[Bronze]]*1)</f>
        <v>13</v>
      </c>
      <c r="Q31" s="12">
        <f t="shared" si="4"/>
        <v>1022.1542857142857</v>
      </c>
      <c r="R31" s="12">
        <f>PRODUCT(Table1456[[#This Row],[GDP]]*Table1456[[#This Row],[Gold]])</f>
        <v>14310.16</v>
      </c>
      <c r="S31" s="9" t="str">
        <f t="shared" si="5"/>
        <v>Low GDP</v>
      </c>
      <c r="T31" s="14" t="str">
        <f t="shared" si="6"/>
        <v>Low performer</v>
      </c>
      <c r="U31" s="8"/>
      <c r="V31" s="8"/>
      <c r="W31" s="8"/>
      <c r="X31" s="8"/>
      <c r="Y31" s="8"/>
      <c r="Z31" s="8"/>
      <c r="AA31" s="8"/>
    </row>
    <row r="32" spans="1:27" x14ac:dyDescent="0.25">
      <c r="A32" s="13" t="s">
        <v>66</v>
      </c>
      <c r="B32" s="1" t="s">
        <v>67</v>
      </c>
      <c r="C32" s="1" t="s">
        <v>13</v>
      </c>
      <c r="D32" s="1">
        <v>2</v>
      </c>
      <c r="E32" s="1">
        <v>2</v>
      </c>
      <c r="F32" s="1">
        <v>3</v>
      </c>
      <c r="G32" s="1">
        <v>7</v>
      </c>
      <c r="H32" s="9" t="str">
        <f t="shared" si="0"/>
        <v>Needs improvement</v>
      </c>
      <c r="I32" s="1">
        <v>21459.78</v>
      </c>
      <c r="J32" s="1">
        <v>2023</v>
      </c>
      <c r="K32" s="1">
        <v>3.9</v>
      </c>
      <c r="L32" s="10">
        <f t="shared" si="1"/>
        <v>0.2857142857142857</v>
      </c>
      <c r="M32" s="11">
        <f t="shared" si="2"/>
        <v>0.2857142857142857</v>
      </c>
      <c r="N32" s="11">
        <f t="shared" si="3"/>
        <v>0.42857142857142855</v>
      </c>
      <c r="O32" s="11">
        <f>Table1456[[#This Row],[Total]]/Table1456[[#This Row],[Population]]</f>
        <v>1.7948717948717949</v>
      </c>
      <c r="P32" s="11">
        <f>(Table1456[[#This Row],[Gold]]*3)+(Table1456[[#This Row],[Silver]]*2)+(Table1456[[#This Row],[Bronze]]*1)</f>
        <v>13</v>
      </c>
      <c r="Q32" s="12">
        <f t="shared" si="4"/>
        <v>3065.6828571428568</v>
      </c>
      <c r="R32" s="12">
        <f>PRODUCT(Table1456[[#This Row],[GDP]]*Table1456[[#This Row],[Gold]])</f>
        <v>42919.56</v>
      </c>
      <c r="S32" s="9" t="str">
        <f t="shared" si="5"/>
        <v>Low GDP</v>
      </c>
      <c r="T32" s="14" t="str">
        <f t="shared" si="6"/>
        <v>Low performer</v>
      </c>
      <c r="U32" s="8"/>
      <c r="V32" s="8"/>
      <c r="W32" s="8"/>
      <c r="X32" s="8"/>
      <c r="Y32" s="8"/>
      <c r="Z32" s="8"/>
      <c r="AA32" s="8"/>
    </row>
    <row r="33" spans="1:27" x14ac:dyDescent="0.25">
      <c r="A33" s="13" t="s">
        <v>68</v>
      </c>
      <c r="B33" s="1" t="s">
        <v>69</v>
      </c>
      <c r="C33" s="1" t="s">
        <v>2</v>
      </c>
      <c r="D33" s="1">
        <v>2</v>
      </c>
      <c r="E33" s="1">
        <v>1</v>
      </c>
      <c r="F33" s="1">
        <v>6</v>
      </c>
      <c r="G33" s="1">
        <v>9</v>
      </c>
      <c r="H33" s="9" t="str">
        <f t="shared" si="0"/>
        <v>Needs improvement</v>
      </c>
      <c r="I33" s="1">
        <v>56495.85</v>
      </c>
      <c r="J33" s="1">
        <v>2022</v>
      </c>
      <c r="K33" s="1">
        <v>11.2</v>
      </c>
      <c r="L33" s="10">
        <f t="shared" si="1"/>
        <v>0.22222222222222221</v>
      </c>
      <c r="M33" s="11">
        <f t="shared" si="2"/>
        <v>0.1111111111111111</v>
      </c>
      <c r="N33" s="11">
        <f t="shared" si="3"/>
        <v>0.66666666666666663</v>
      </c>
      <c r="O33" s="11">
        <f>Table1456[[#This Row],[Total]]/Table1456[[#This Row],[Population]]</f>
        <v>0.8035714285714286</v>
      </c>
      <c r="P33" s="11">
        <f>(Table1456[[#This Row],[Gold]]*3)+(Table1456[[#This Row],[Silver]]*2)+(Table1456[[#This Row],[Bronze]]*1)</f>
        <v>14</v>
      </c>
      <c r="Q33" s="12">
        <f t="shared" si="4"/>
        <v>6277.3166666666666</v>
      </c>
      <c r="R33" s="12">
        <f>PRODUCT(Table1456[[#This Row],[GDP]]*Table1456[[#This Row],[Gold]])</f>
        <v>112991.7</v>
      </c>
      <c r="S33" s="9" t="str">
        <f t="shared" si="5"/>
        <v>High GDP</v>
      </c>
      <c r="T33" s="14" t="str">
        <f t="shared" si="6"/>
        <v>Low performer</v>
      </c>
      <c r="U33" s="8"/>
      <c r="V33" s="8"/>
      <c r="W33" s="8"/>
      <c r="X33" s="8"/>
      <c r="Y33" s="8"/>
      <c r="Z33" s="8"/>
      <c r="AA33" s="8"/>
    </row>
    <row r="34" spans="1:27" x14ac:dyDescent="0.25">
      <c r="A34" s="13" t="s">
        <v>70</v>
      </c>
      <c r="B34" s="1" t="s">
        <v>71</v>
      </c>
      <c r="C34" s="1" t="s">
        <v>5</v>
      </c>
      <c r="D34" s="1">
        <v>2</v>
      </c>
      <c r="E34" s="1">
        <v>1</v>
      </c>
      <c r="F34" s="1">
        <v>1</v>
      </c>
      <c r="G34" s="1">
        <v>4</v>
      </c>
      <c r="H34" s="9" t="str">
        <f t="shared" si="0"/>
        <v>Needs improvement</v>
      </c>
      <c r="I34" s="1">
        <v>29084.31</v>
      </c>
      <c r="J34" s="1">
        <v>2023</v>
      </c>
      <c r="K34" s="1">
        <v>1.5</v>
      </c>
      <c r="L34" s="10">
        <f t="shared" si="1"/>
        <v>0.5</v>
      </c>
      <c r="M34" s="11">
        <f t="shared" si="2"/>
        <v>0.25</v>
      </c>
      <c r="N34" s="11">
        <f t="shared" si="3"/>
        <v>0.25</v>
      </c>
      <c r="O34" s="11">
        <f>Table1456[[#This Row],[Total]]/Table1456[[#This Row],[Population]]</f>
        <v>2.6666666666666665</v>
      </c>
      <c r="P34" s="11">
        <f>(Table1456[[#This Row],[Gold]]*3)+(Table1456[[#This Row],[Silver]]*2)+(Table1456[[#This Row],[Bronze]]*1)</f>
        <v>9</v>
      </c>
      <c r="Q34" s="12">
        <f t="shared" si="4"/>
        <v>7271.0775000000003</v>
      </c>
      <c r="R34" s="12">
        <f>PRODUCT(Table1456[[#This Row],[GDP]]*Table1456[[#This Row],[Gold]])</f>
        <v>58168.62</v>
      </c>
      <c r="S34" s="9" t="str">
        <f t="shared" si="5"/>
        <v>Low GDP</v>
      </c>
      <c r="T34" s="14" t="str">
        <f t="shared" si="6"/>
        <v>Low performer</v>
      </c>
      <c r="U34" s="8"/>
      <c r="V34" s="8"/>
      <c r="W34" s="8"/>
      <c r="X34" s="8"/>
      <c r="Y34" s="8"/>
      <c r="Z34" s="8"/>
      <c r="AA34" s="8"/>
    </row>
    <row r="35" spans="1:27" x14ac:dyDescent="0.25">
      <c r="A35" s="13" t="s">
        <v>72</v>
      </c>
      <c r="B35" s="1" t="s">
        <v>73</v>
      </c>
      <c r="C35" s="1" t="s">
        <v>13</v>
      </c>
      <c r="D35" s="1">
        <v>2</v>
      </c>
      <c r="E35" s="1">
        <v>1</v>
      </c>
      <c r="F35" s="1">
        <v>0</v>
      </c>
      <c r="G35" s="1">
        <v>3</v>
      </c>
      <c r="H35" s="9" t="str">
        <f t="shared" si="0"/>
        <v>Needs improvement</v>
      </c>
      <c r="I35" s="1">
        <v>32163.51</v>
      </c>
      <c r="J35" s="1">
        <v>2023</v>
      </c>
      <c r="K35" s="1">
        <v>2.1</v>
      </c>
      <c r="L35" s="10">
        <f t="shared" si="1"/>
        <v>0.66666666666666663</v>
      </c>
      <c r="M35" s="11">
        <f t="shared" si="2"/>
        <v>0.33333333333333331</v>
      </c>
      <c r="N35" s="11">
        <f t="shared" si="3"/>
        <v>0</v>
      </c>
      <c r="O35" s="11">
        <f>Table1456[[#This Row],[Total]]/Table1456[[#This Row],[Population]]</f>
        <v>1.4285714285714286</v>
      </c>
      <c r="P35" s="11">
        <f>(Table1456[[#This Row],[Gold]]*3)+(Table1456[[#This Row],[Silver]]*2)+(Table1456[[#This Row],[Bronze]]*1)</f>
        <v>8</v>
      </c>
      <c r="Q35" s="12">
        <f t="shared" si="4"/>
        <v>10721.17</v>
      </c>
      <c r="R35" s="12">
        <f>PRODUCT(Table1456[[#This Row],[GDP]]*Table1456[[#This Row],[Gold]])</f>
        <v>64327.02</v>
      </c>
      <c r="S35" s="9" t="str">
        <f t="shared" si="5"/>
        <v>Low GDP</v>
      </c>
      <c r="T35" s="14" t="str">
        <f t="shared" si="6"/>
        <v>Low performer</v>
      </c>
      <c r="U35" s="8"/>
      <c r="V35" s="8"/>
      <c r="W35" s="8"/>
      <c r="X35" s="8"/>
      <c r="Y35" s="8"/>
      <c r="Z35" s="8"/>
      <c r="AA35" s="8"/>
    </row>
    <row r="36" spans="1:27" x14ac:dyDescent="0.25">
      <c r="A36" s="13" t="s">
        <v>74</v>
      </c>
      <c r="B36" s="1" t="s">
        <v>75</v>
      </c>
      <c r="C36" s="1" t="s">
        <v>5</v>
      </c>
      <c r="D36" s="1">
        <v>2</v>
      </c>
      <c r="E36" s="1">
        <v>0</v>
      </c>
      <c r="F36" s="1">
        <v>5</v>
      </c>
      <c r="G36" s="1">
        <v>7</v>
      </c>
      <c r="H36" s="9" t="str">
        <f t="shared" si="0"/>
        <v>Needs improvement</v>
      </c>
      <c r="I36" s="1">
        <v>32443.71</v>
      </c>
      <c r="J36" s="1">
        <v>2023</v>
      </c>
      <c r="K36" s="1">
        <v>23.2</v>
      </c>
      <c r="L36" s="10">
        <f t="shared" si="1"/>
        <v>0.2857142857142857</v>
      </c>
      <c r="M36" s="11">
        <f t="shared" si="2"/>
        <v>0</v>
      </c>
      <c r="N36" s="11">
        <f t="shared" si="3"/>
        <v>0.7142857142857143</v>
      </c>
      <c r="O36" s="11">
        <f>Table1456[[#This Row],[Total]]/Table1456[[#This Row],[Population]]</f>
        <v>0.30172413793103448</v>
      </c>
      <c r="P36" s="11">
        <f>(Table1456[[#This Row],[Gold]]*3)+(Table1456[[#This Row],[Silver]]*2)+(Table1456[[#This Row],[Bronze]]*1)</f>
        <v>11</v>
      </c>
      <c r="Q36" s="12">
        <f t="shared" si="4"/>
        <v>4634.8157142857144</v>
      </c>
      <c r="R36" s="12">
        <f>PRODUCT(Table1456[[#This Row],[GDP]]*Table1456[[#This Row],[Gold]])</f>
        <v>64887.42</v>
      </c>
      <c r="S36" s="9" t="str">
        <f t="shared" si="5"/>
        <v>Low GDP</v>
      </c>
      <c r="T36" s="14" t="str">
        <f t="shared" si="6"/>
        <v>Low performer</v>
      </c>
      <c r="U36" s="8"/>
      <c r="V36" s="8"/>
      <c r="W36" s="8"/>
      <c r="X36" s="8"/>
      <c r="Y36" s="8"/>
      <c r="Z36" s="8"/>
      <c r="AA36" s="8"/>
    </row>
    <row r="37" spans="1:27" x14ac:dyDescent="0.25">
      <c r="A37" s="13" t="s">
        <v>76</v>
      </c>
      <c r="B37" s="1" t="s">
        <v>77</v>
      </c>
      <c r="C37" s="1" t="s">
        <v>13</v>
      </c>
      <c r="D37" s="1">
        <v>2</v>
      </c>
      <c r="E37" s="1">
        <v>0</v>
      </c>
      <c r="F37" s="1">
        <v>3</v>
      </c>
      <c r="G37" s="1">
        <v>5</v>
      </c>
      <c r="H37" s="9" t="str">
        <f t="shared" si="0"/>
        <v>Needs improvement</v>
      </c>
      <c r="I37" s="1">
        <v>56505.97</v>
      </c>
      <c r="J37" s="1">
        <v>2023</v>
      </c>
      <c r="K37" s="1">
        <v>9.1</v>
      </c>
      <c r="L37" s="10">
        <f t="shared" si="1"/>
        <v>0.4</v>
      </c>
      <c r="M37" s="11">
        <f t="shared" si="2"/>
        <v>0</v>
      </c>
      <c r="N37" s="11">
        <f t="shared" si="3"/>
        <v>0.6</v>
      </c>
      <c r="O37" s="11">
        <f>Table1456[[#This Row],[Total]]/Table1456[[#This Row],[Population]]</f>
        <v>0.5494505494505495</v>
      </c>
      <c r="P37" s="11">
        <f>(Table1456[[#This Row],[Gold]]*3)+(Table1456[[#This Row],[Silver]]*2)+(Table1456[[#This Row],[Bronze]]*1)</f>
        <v>9</v>
      </c>
      <c r="Q37" s="12">
        <f t="shared" si="4"/>
        <v>11301.194</v>
      </c>
      <c r="R37" s="12">
        <f>PRODUCT(Table1456[[#This Row],[GDP]]*Table1456[[#This Row],[Gold]])</f>
        <v>113011.94</v>
      </c>
      <c r="S37" s="9" t="str">
        <f t="shared" si="5"/>
        <v>High GDP</v>
      </c>
      <c r="T37" s="14" t="str">
        <f t="shared" si="6"/>
        <v>Low performer</v>
      </c>
      <c r="U37" s="8"/>
      <c r="V37" s="8"/>
      <c r="W37" s="8"/>
      <c r="X37" s="8"/>
      <c r="Y37" s="8"/>
      <c r="Z37" s="8"/>
      <c r="AA37" s="8"/>
    </row>
    <row r="38" spans="1:27" x14ac:dyDescent="0.25">
      <c r="A38" s="13" t="s">
        <v>78</v>
      </c>
      <c r="B38" s="1" t="s">
        <v>79</v>
      </c>
      <c r="C38" s="1" t="s">
        <v>5</v>
      </c>
      <c r="D38" s="1">
        <v>2</v>
      </c>
      <c r="E38" s="1">
        <v>0</v>
      </c>
      <c r="F38" s="1">
        <v>2</v>
      </c>
      <c r="G38" s="1">
        <v>4</v>
      </c>
      <c r="H38" s="9" t="str">
        <f t="shared" si="0"/>
        <v>Needs improvement</v>
      </c>
      <c r="I38" s="1">
        <v>50696.59</v>
      </c>
      <c r="J38" s="1">
        <v>2023</v>
      </c>
      <c r="K38" s="1">
        <v>7.5</v>
      </c>
      <c r="L38" s="10">
        <f t="shared" si="1"/>
        <v>0.5</v>
      </c>
      <c r="M38" s="11">
        <f t="shared" si="2"/>
        <v>0</v>
      </c>
      <c r="N38" s="11">
        <f t="shared" si="3"/>
        <v>0.5</v>
      </c>
      <c r="O38" s="11">
        <f>Table1456[[#This Row],[Total]]/Table1456[[#This Row],[Population]]</f>
        <v>0.53333333333333333</v>
      </c>
      <c r="P38" s="11">
        <f>(Table1456[[#This Row],[Gold]]*3)+(Table1456[[#This Row],[Silver]]*2)+(Table1456[[#This Row],[Bronze]]*1)</f>
        <v>8</v>
      </c>
      <c r="Q38" s="12">
        <f t="shared" si="4"/>
        <v>12674.147499999999</v>
      </c>
      <c r="R38" s="12">
        <f>PRODUCT(Table1456[[#This Row],[GDP]]*Table1456[[#This Row],[Gold]])</f>
        <v>101393.18</v>
      </c>
      <c r="S38" s="9" t="str">
        <f t="shared" si="5"/>
        <v>High GDP</v>
      </c>
      <c r="T38" s="14" t="str">
        <f t="shared" si="6"/>
        <v>Low performer</v>
      </c>
      <c r="U38" s="8"/>
      <c r="V38" s="8"/>
      <c r="W38" s="8"/>
      <c r="X38" s="8"/>
      <c r="Y38" s="8"/>
      <c r="Z38" s="8"/>
      <c r="AA38" s="8"/>
    </row>
    <row r="39" spans="1:27" x14ac:dyDescent="0.25">
      <c r="A39" s="13" t="s">
        <v>80</v>
      </c>
      <c r="B39" s="1" t="s">
        <v>81</v>
      </c>
      <c r="C39" s="1" t="s">
        <v>5</v>
      </c>
      <c r="D39" s="1">
        <v>2</v>
      </c>
      <c r="E39" s="1">
        <v>0</v>
      </c>
      <c r="F39" s="1">
        <v>2</v>
      </c>
      <c r="G39" s="1">
        <v>4</v>
      </c>
      <c r="H39" s="9" t="str">
        <f t="shared" si="0"/>
        <v>Needs improvement</v>
      </c>
      <c r="I39" s="1">
        <v>3725.55</v>
      </c>
      <c r="J39" s="1">
        <v>2023</v>
      </c>
      <c r="K39" s="1">
        <v>117.3</v>
      </c>
      <c r="L39" s="10">
        <f t="shared" si="1"/>
        <v>0.5</v>
      </c>
      <c r="M39" s="11">
        <f t="shared" si="2"/>
        <v>0</v>
      </c>
      <c r="N39" s="11">
        <f t="shared" si="3"/>
        <v>0.5</v>
      </c>
      <c r="O39" s="11">
        <f>Table1456[[#This Row],[Total]]/Table1456[[#This Row],[Population]]</f>
        <v>3.4100596760443309E-2</v>
      </c>
      <c r="P39" s="11">
        <f>(Table1456[[#This Row],[Gold]]*3)+(Table1456[[#This Row],[Silver]]*2)+(Table1456[[#This Row],[Bronze]]*1)</f>
        <v>8</v>
      </c>
      <c r="Q39" s="12">
        <f t="shared" si="4"/>
        <v>931.38750000000005</v>
      </c>
      <c r="R39" s="12">
        <f>PRODUCT(Table1456[[#This Row],[GDP]]*Table1456[[#This Row],[Gold]])</f>
        <v>7451.1</v>
      </c>
      <c r="S39" s="9" t="str">
        <f t="shared" si="5"/>
        <v>Low GDP</v>
      </c>
      <c r="T39" s="14" t="str">
        <f t="shared" si="6"/>
        <v>Low performer</v>
      </c>
      <c r="U39" s="8"/>
      <c r="V39" s="8"/>
      <c r="W39" s="8"/>
      <c r="X39" s="8"/>
      <c r="Y39" s="8"/>
      <c r="Z39" s="8"/>
      <c r="AA39" s="8"/>
    </row>
    <row r="40" spans="1:27" x14ac:dyDescent="0.25">
      <c r="A40" s="13" t="s">
        <v>82</v>
      </c>
      <c r="B40" s="1" t="s">
        <v>83</v>
      </c>
      <c r="C40" s="1" t="s">
        <v>38</v>
      </c>
      <c r="D40" s="1">
        <v>2</v>
      </c>
      <c r="E40" s="1">
        <v>0</v>
      </c>
      <c r="F40" s="1">
        <v>1</v>
      </c>
      <c r="G40" s="1">
        <v>3</v>
      </c>
      <c r="H40" s="9" t="str">
        <f t="shared" si="0"/>
        <v>Needs improvement</v>
      </c>
      <c r="I40" s="1">
        <v>5260.21</v>
      </c>
      <c r="J40" s="1">
        <v>2023</v>
      </c>
      <c r="K40" s="1">
        <v>45.6</v>
      </c>
      <c r="L40" s="10">
        <f t="shared" si="1"/>
        <v>0.66666666666666663</v>
      </c>
      <c r="M40" s="11">
        <f t="shared" si="2"/>
        <v>0</v>
      </c>
      <c r="N40" s="11">
        <f t="shared" si="3"/>
        <v>0.33333333333333331</v>
      </c>
      <c r="O40" s="11">
        <f>Table1456[[#This Row],[Total]]/Table1456[[#This Row],[Population]]</f>
        <v>6.5789473684210523E-2</v>
      </c>
      <c r="P40" s="11">
        <f>(Table1456[[#This Row],[Gold]]*3)+(Table1456[[#This Row],[Silver]]*2)+(Table1456[[#This Row],[Bronze]]*1)</f>
        <v>7</v>
      </c>
      <c r="Q40" s="12">
        <f t="shared" si="4"/>
        <v>1753.4033333333334</v>
      </c>
      <c r="R40" s="12">
        <f>PRODUCT(Table1456[[#This Row],[GDP]]*Table1456[[#This Row],[Gold]])</f>
        <v>10520.42</v>
      </c>
      <c r="S40" s="9" t="str">
        <f t="shared" si="5"/>
        <v>Low GDP</v>
      </c>
      <c r="T40" s="14" t="str">
        <f t="shared" si="6"/>
        <v>Low performer</v>
      </c>
      <c r="U40" s="8"/>
      <c r="V40" s="8"/>
      <c r="W40" s="8"/>
      <c r="X40" s="8"/>
      <c r="Y40" s="8"/>
      <c r="Z40" s="8"/>
      <c r="AA40" s="8"/>
    </row>
    <row r="41" spans="1:27" x14ac:dyDescent="0.25">
      <c r="A41" s="13" t="s">
        <v>84</v>
      </c>
      <c r="B41" s="1" t="s">
        <v>85</v>
      </c>
      <c r="C41" s="1" t="s">
        <v>5</v>
      </c>
      <c r="D41" s="1">
        <v>2</v>
      </c>
      <c r="E41" s="1">
        <v>0</v>
      </c>
      <c r="F41" s="1">
        <v>1</v>
      </c>
      <c r="G41" s="1">
        <v>3</v>
      </c>
      <c r="H41" s="9" t="str">
        <f t="shared" si="0"/>
        <v>Needs improvement</v>
      </c>
      <c r="I41" s="1">
        <v>4940.55</v>
      </c>
      <c r="J41" s="1">
        <v>2023</v>
      </c>
      <c r="K41" s="1">
        <v>277.5</v>
      </c>
      <c r="L41" s="10">
        <f t="shared" si="1"/>
        <v>0.66666666666666663</v>
      </c>
      <c r="M41" s="11">
        <f t="shared" si="2"/>
        <v>0</v>
      </c>
      <c r="N41" s="11">
        <f t="shared" si="3"/>
        <v>0.33333333333333331</v>
      </c>
      <c r="O41" s="11">
        <f>Table1456[[#This Row],[Total]]/Table1456[[#This Row],[Population]]</f>
        <v>1.0810810810810811E-2</v>
      </c>
      <c r="P41" s="11">
        <f>(Table1456[[#This Row],[Gold]]*3)+(Table1456[[#This Row],[Silver]]*2)+(Table1456[[#This Row],[Bronze]]*1)</f>
        <v>7</v>
      </c>
      <c r="Q41" s="12">
        <f t="shared" si="4"/>
        <v>1646.8500000000001</v>
      </c>
      <c r="R41" s="12">
        <f>PRODUCT(Table1456[[#This Row],[GDP]]*Table1456[[#This Row],[Gold]])</f>
        <v>9881.1</v>
      </c>
      <c r="S41" s="9" t="str">
        <f t="shared" si="5"/>
        <v>Low GDP</v>
      </c>
      <c r="T41" s="14" t="str">
        <f t="shared" si="6"/>
        <v>Low performer</v>
      </c>
      <c r="U41" s="8"/>
      <c r="V41" s="8"/>
      <c r="W41" s="8"/>
      <c r="X41" s="8"/>
      <c r="Y41" s="8"/>
      <c r="Z41" s="8"/>
      <c r="AA41" s="8"/>
    </row>
    <row r="42" spans="1:27" x14ac:dyDescent="0.25">
      <c r="A42" s="13" t="s">
        <v>86</v>
      </c>
      <c r="B42" s="1" t="s">
        <v>87</v>
      </c>
      <c r="C42" s="1" t="s">
        <v>5</v>
      </c>
      <c r="D42" s="1">
        <v>1</v>
      </c>
      <c r="E42" s="1">
        <v>5</v>
      </c>
      <c r="F42" s="1">
        <v>1</v>
      </c>
      <c r="G42" s="1">
        <v>7</v>
      </c>
      <c r="H42" s="9" t="str">
        <f t="shared" si="0"/>
        <v>Needs improvement</v>
      </c>
      <c r="I42" s="1">
        <v>52261.68</v>
      </c>
      <c r="J42" s="1">
        <v>2023</v>
      </c>
      <c r="K42" s="1">
        <v>9.8000000000000007</v>
      </c>
      <c r="L42" s="10">
        <f t="shared" si="1"/>
        <v>0.14285714285714285</v>
      </c>
      <c r="M42" s="11">
        <f t="shared" si="2"/>
        <v>0.7142857142857143</v>
      </c>
      <c r="N42" s="11">
        <f t="shared" si="3"/>
        <v>0.14285714285714285</v>
      </c>
      <c r="O42" s="11">
        <f>Table1456[[#This Row],[Total]]/Table1456[[#This Row],[Population]]</f>
        <v>0.71428571428571419</v>
      </c>
      <c r="P42" s="11">
        <f>(Table1456[[#This Row],[Gold]]*3)+(Table1456[[#This Row],[Silver]]*2)+(Table1456[[#This Row],[Bronze]]*1)</f>
        <v>14</v>
      </c>
      <c r="Q42" s="12">
        <f t="shared" si="4"/>
        <v>7465.954285714286</v>
      </c>
      <c r="R42" s="12">
        <f>PRODUCT(Table1456[[#This Row],[GDP]]*Table1456[[#This Row],[Gold]])</f>
        <v>52261.68</v>
      </c>
      <c r="S42" s="9" t="str">
        <f t="shared" si="5"/>
        <v>High GDP</v>
      </c>
      <c r="T42" s="14" t="str">
        <f t="shared" si="6"/>
        <v>Low performer</v>
      </c>
      <c r="U42" s="8"/>
      <c r="V42" s="8"/>
      <c r="W42" s="8"/>
      <c r="X42" s="8"/>
      <c r="Y42" s="8"/>
      <c r="Z42" s="8"/>
      <c r="AA42" s="8"/>
    </row>
    <row r="43" spans="1:27" x14ac:dyDescent="0.25">
      <c r="A43" s="13" t="s">
        <v>88</v>
      </c>
      <c r="B43" s="1" t="s">
        <v>89</v>
      </c>
      <c r="C43" s="1" t="s">
        <v>13</v>
      </c>
      <c r="D43" s="1">
        <v>1</v>
      </c>
      <c r="E43" s="1">
        <v>4</v>
      </c>
      <c r="F43" s="1">
        <v>5</v>
      </c>
      <c r="G43" s="1">
        <v>10</v>
      </c>
      <c r="H43" s="9" t="str">
        <f t="shared" si="0"/>
        <v>Needs improvement</v>
      </c>
      <c r="I43" s="1">
        <v>22112.86</v>
      </c>
      <c r="J43" s="1">
        <v>2023</v>
      </c>
      <c r="K43" s="1">
        <v>36.700000000000003</v>
      </c>
      <c r="L43" s="10">
        <f t="shared" si="1"/>
        <v>0.1</v>
      </c>
      <c r="M43" s="11">
        <f t="shared" si="2"/>
        <v>0.4</v>
      </c>
      <c r="N43" s="11">
        <f t="shared" si="3"/>
        <v>0.5</v>
      </c>
      <c r="O43" s="11">
        <f>Table1456[[#This Row],[Total]]/Table1456[[#This Row],[Population]]</f>
        <v>0.27247956403269752</v>
      </c>
      <c r="P43" s="11">
        <f>(Table1456[[#This Row],[Gold]]*3)+(Table1456[[#This Row],[Silver]]*2)+(Table1456[[#This Row],[Bronze]]*1)</f>
        <v>16</v>
      </c>
      <c r="Q43" s="12">
        <f t="shared" si="4"/>
        <v>2211.2860000000001</v>
      </c>
      <c r="R43" s="12">
        <f>PRODUCT(Table1456[[#This Row],[GDP]]*Table1456[[#This Row],[Gold]])</f>
        <v>22112.86</v>
      </c>
      <c r="S43" s="9" t="str">
        <f t="shared" si="5"/>
        <v>Low GDP</v>
      </c>
      <c r="T43" s="14" t="str">
        <f t="shared" si="6"/>
        <v>Low performer</v>
      </c>
      <c r="U43" s="8"/>
      <c r="V43" s="8"/>
      <c r="W43" s="8"/>
      <c r="X43" s="8"/>
      <c r="Y43" s="8"/>
      <c r="Z43" s="8"/>
      <c r="AA43" s="8"/>
    </row>
    <row r="44" spans="1:27" x14ac:dyDescent="0.25">
      <c r="A44" s="13" t="s">
        <v>90</v>
      </c>
      <c r="B44" s="1" t="s">
        <v>91</v>
      </c>
      <c r="C44" s="1" t="s">
        <v>5</v>
      </c>
      <c r="D44" s="1">
        <v>1</v>
      </c>
      <c r="E44" s="1">
        <v>3</v>
      </c>
      <c r="F44" s="1">
        <v>3</v>
      </c>
      <c r="G44" s="1">
        <v>7</v>
      </c>
      <c r="H44" s="9" t="str">
        <f t="shared" si="0"/>
        <v>Needs improvement</v>
      </c>
      <c r="I44" s="1">
        <v>13136.62</v>
      </c>
      <c r="J44" s="1">
        <v>2023</v>
      </c>
      <c r="K44" s="1">
        <v>19.899999999999999</v>
      </c>
      <c r="L44" s="10">
        <f t="shared" si="1"/>
        <v>0.14285714285714285</v>
      </c>
      <c r="M44" s="11">
        <f t="shared" si="2"/>
        <v>0.42857142857142855</v>
      </c>
      <c r="N44" s="11">
        <f t="shared" si="3"/>
        <v>0.42857142857142855</v>
      </c>
      <c r="O44" s="11">
        <f>Table1456[[#This Row],[Total]]/Table1456[[#This Row],[Population]]</f>
        <v>0.35175879396984927</v>
      </c>
      <c r="P44" s="11">
        <f>(Table1456[[#This Row],[Gold]]*3)+(Table1456[[#This Row],[Silver]]*2)+(Table1456[[#This Row],[Bronze]]*1)</f>
        <v>12</v>
      </c>
      <c r="Q44" s="12">
        <f t="shared" si="4"/>
        <v>1876.66</v>
      </c>
      <c r="R44" s="12">
        <f>PRODUCT(Table1456[[#This Row],[GDP]]*Table1456[[#This Row],[Gold]])</f>
        <v>13136.62</v>
      </c>
      <c r="S44" s="9" t="str">
        <f t="shared" si="5"/>
        <v>Low GDP</v>
      </c>
      <c r="T44" s="14" t="str">
        <f t="shared" si="6"/>
        <v>Low performer</v>
      </c>
      <c r="U44" s="8"/>
      <c r="V44" s="8"/>
      <c r="W44" s="8"/>
      <c r="X44" s="8"/>
      <c r="Y44" s="8"/>
      <c r="Z44" s="8"/>
      <c r="AA44" s="8"/>
    </row>
    <row r="45" spans="1:27" x14ac:dyDescent="0.25">
      <c r="A45" s="13" t="s">
        <v>92</v>
      </c>
      <c r="B45" s="1" t="s">
        <v>93</v>
      </c>
      <c r="C45" s="1" t="s">
        <v>2</v>
      </c>
      <c r="D45" s="1">
        <v>1</v>
      </c>
      <c r="E45" s="1">
        <v>3</v>
      </c>
      <c r="F45" s="1">
        <v>2</v>
      </c>
      <c r="G45" s="1">
        <v>6</v>
      </c>
      <c r="H45" s="9" t="str">
        <f t="shared" si="0"/>
        <v>Needs improvement</v>
      </c>
      <c r="I45" s="1">
        <v>6874.2</v>
      </c>
      <c r="J45" s="1">
        <v>2023</v>
      </c>
      <c r="K45" s="1">
        <v>2.8</v>
      </c>
      <c r="L45" s="10">
        <f t="shared" si="1"/>
        <v>0.16666666666666666</v>
      </c>
      <c r="M45" s="11">
        <f t="shared" si="2"/>
        <v>0.5</v>
      </c>
      <c r="N45" s="11">
        <f t="shared" si="3"/>
        <v>0.33333333333333331</v>
      </c>
      <c r="O45" s="11">
        <f>Table1456[[#This Row],[Total]]/Table1456[[#This Row],[Population]]</f>
        <v>2.1428571428571428</v>
      </c>
      <c r="P45" s="11">
        <f>(Table1456[[#This Row],[Gold]]*3)+(Table1456[[#This Row],[Silver]]*2)+(Table1456[[#This Row],[Bronze]]*1)</f>
        <v>11</v>
      </c>
      <c r="Q45" s="12">
        <f t="shared" si="4"/>
        <v>1145.7</v>
      </c>
      <c r="R45" s="12">
        <f>PRODUCT(Table1456[[#This Row],[GDP]]*Table1456[[#This Row],[Gold]])</f>
        <v>6874.2</v>
      </c>
      <c r="S45" s="9" t="str">
        <f t="shared" si="5"/>
        <v>Low GDP</v>
      </c>
      <c r="T45" s="14" t="str">
        <f t="shared" si="6"/>
        <v>Low performer</v>
      </c>
      <c r="U45" s="8"/>
      <c r="V45" s="8"/>
      <c r="W45" s="8"/>
      <c r="X45" s="8"/>
      <c r="Y45" s="8"/>
      <c r="Z45" s="8"/>
      <c r="AA45" s="8"/>
    </row>
    <row r="46" spans="1:27" x14ac:dyDescent="0.25">
      <c r="A46" s="13" t="s">
        <v>94</v>
      </c>
      <c r="B46" s="1" t="s">
        <v>95</v>
      </c>
      <c r="C46" s="1" t="s">
        <v>38</v>
      </c>
      <c r="D46" s="1">
        <v>1</v>
      </c>
      <c r="E46" s="1">
        <v>3</v>
      </c>
      <c r="F46" s="1">
        <v>2</v>
      </c>
      <c r="G46" s="1">
        <v>6</v>
      </c>
      <c r="H46" s="9" t="str">
        <f t="shared" si="0"/>
        <v>Needs improvement</v>
      </c>
      <c r="I46" s="1">
        <v>6253.16</v>
      </c>
      <c r="J46" s="1">
        <v>2023</v>
      </c>
      <c r="K46" s="1">
        <v>60.4</v>
      </c>
      <c r="L46" s="10">
        <f t="shared" si="1"/>
        <v>0.16666666666666666</v>
      </c>
      <c r="M46" s="11">
        <f t="shared" si="2"/>
        <v>0.5</v>
      </c>
      <c r="N46" s="11">
        <f t="shared" si="3"/>
        <v>0.33333333333333331</v>
      </c>
      <c r="O46" s="11">
        <f>Table1456[[#This Row],[Total]]/Table1456[[#This Row],[Population]]</f>
        <v>9.9337748344370869E-2</v>
      </c>
      <c r="P46" s="11">
        <f>(Table1456[[#This Row],[Gold]]*3)+(Table1456[[#This Row],[Silver]]*2)+(Table1456[[#This Row],[Bronze]]*1)</f>
        <v>11</v>
      </c>
      <c r="Q46" s="12">
        <f t="shared" si="4"/>
        <v>1042.1933333333334</v>
      </c>
      <c r="R46" s="12">
        <f>PRODUCT(Table1456[[#This Row],[GDP]]*Table1456[[#This Row],[Gold]])</f>
        <v>6253.16</v>
      </c>
      <c r="S46" s="9" t="str">
        <f t="shared" si="5"/>
        <v>Low GDP</v>
      </c>
      <c r="T46" s="14" t="str">
        <f t="shared" si="6"/>
        <v>Low performer</v>
      </c>
      <c r="U46" s="8"/>
      <c r="V46" s="8"/>
      <c r="W46" s="8"/>
      <c r="X46" s="8"/>
      <c r="Y46" s="8"/>
      <c r="Z46" s="8"/>
      <c r="AA46" s="8"/>
    </row>
    <row r="47" spans="1:27" x14ac:dyDescent="0.25">
      <c r="A47" s="13" t="s">
        <v>96</v>
      </c>
      <c r="B47" s="1" t="s">
        <v>97</v>
      </c>
      <c r="C47" s="1" t="s">
        <v>5</v>
      </c>
      <c r="D47" s="1">
        <v>1</v>
      </c>
      <c r="E47" s="1">
        <v>3</v>
      </c>
      <c r="F47" s="1">
        <v>2</v>
      </c>
      <c r="G47" s="1">
        <v>6</v>
      </c>
      <c r="H47" s="9" t="str">
        <f t="shared" si="0"/>
        <v>Needs improvement</v>
      </c>
      <c r="I47" s="1">
        <v>7171.81</v>
      </c>
      <c r="J47" s="1">
        <v>2023</v>
      </c>
      <c r="K47" s="1">
        <v>71.8</v>
      </c>
      <c r="L47" s="10">
        <f t="shared" si="1"/>
        <v>0.16666666666666666</v>
      </c>
      <c r="M47" s="11">
        <f t="shared" si="2"/>
        <v>0.5</v>
      </c>
      <c r="N47" s="11">
        <f t="shared" si="3"/>
        <v>0.33333333333333331</v>
      </c>
      <c r="O47" s="11">
        <f>Table1456[[#This Row],[Total]]/Table1456[[#This Row],[Population]]</f>
        <v>8.3565459610027856E-2</v>
      </c>
      <c r="P47" s="11">
        <f>(Table1456[[#This Row],[Gold]]*3)+(Table1456[[#This Row],[Silver]]*2)+(Table1456[[#This Row],[Bronze]]*1)</f>
        <v>11</v>
      </c>
      <c r="Q47" s="12">
        <f t="shared" si="4"/>
        <v>1195.3016666666667</v>
      </c>
      <c r="R47" s="12">
        <f>PRODUCT(Table1456[[#This Row],[GDP]]*Table1456[[#This Row],[Gold]])</f>
        <v>7171.81</v>
      </c>
      <c r="S47" s="9" t="str">
        <f t="shared" si="5"/>
        <v>Low GDP</v>
      </c>
      <c r="T47" s="14" t="str">
        <f t="shared" si="6"/>
        <v>Low performer</v>
      </c>
      <c r="U47" s="8"/>
      <c r="V47" s="8"/>
      <c r="W47" s="8"/>
      <c r="X47" s="8"/>
      <c r="Y47" s="8"/>
      <c r="Z47" s="8"/>
      <c r="AA47" s="8"/>
    </row>
    <row r="48" spans="1:27" x14ac:dyDescent="0.25">
      <c r="A48" s="13" t="s">
        <v>98</v>
      </c>
      <c r="B48" s="1" t="s">
        <v>99</v>
      </c>
      <c r="C48" s="1" t="s">
        <v>38</v>
      </c>
      <c r="D48" s="1">
        <v>1</v>
      </c>
      <c r="E48" s="1">
        <v>3</v>
      </c>
      <c r="F48" s="1">
        <v>0</v>
      </c>
      <c r="G48" s="1">
        <v>4</v>
      </c>
      <c r="H48" s="9" t="str">
        <f t="shared" si="0"/>
        <v>Needs improvement</v>
      </c>
      <c r="I48" s="1">
        <v>1293.78</v>
      </c>
      <c r="J48" s="1">
        <v>2023</v>
      </c>
      <c r="K48" s="1">
        <v>126.5</v>
      </c>
      <c r="L48" s="10">
        <f t="shared" si="1"/>
        <v>0.25</v>
      </c>
      <c r="M48" s="11">
        <f t="shared" si="2"/>
        <v>0.75</v>
      </c>
      <c r="N48" s="11">
        <f t="shared" si="3"/>
        <v>0</v>
      </c>
      <c r="O48" s="11">
        <f>Table1456[[#This Row],[Total]]/Table1456[[#This Row],[Population]]</f>
        <v>3.1620553359683792E-2</v>
      </c>
      <c r="P48" s="11">
        <f>(Table1456[[#This Row],[Gold]]*3)+(Table1456[[#This Row],[Silver]]*2)+(Table1456[[#This Row],[Bronze]]*1)</f>
        <v>9</v>
      </c>
      <c r="Q48" s="12">
        <f t="shared" si="4"/>
        <v>323.44499999999999</v>
      </c>
      <c r="R48" s="12">
        <f>PRODUCT(Table1456[[#This Row],[GDP]]*Table1456[[#This Row],[Gold]])</f>
        <v>1293.78</v>
      </c>
      <c r="S48" s="9" t="str">
        <f t="shared" si="5"/>
        <v>Low GDP</v>
      </c>
      <c r="T48" s="14" t="str">
        <f t="shared" si="6"/>
        <v>Low performer</v>
      </c>
      <c r="U48" s="8"/>
      <c r="V48" s="8"/>
      <c r="W48" s="8"/>
      <c r="X48" s="8"/>
      <c r="Y48" s="8"/>
      <c r="Z48" s="8"/>
      <c r="AA48" s="8"/>
    </row>
    <row r="49" spans="1:27" x14ac:dyDescent="0.25">
      <c r="A49" s="13" t="s">
        <v>100</v>
      </c>
      <c r="B49" s="1" t="s">
        <v>101</v>
      </c>
      <c r="C49" s="1" t="s">
        <v>13</v>
      </c>
      <c r="D49" s="1">
        <v>1</v>
      </c>
      <c r="E49" s="1">
        <v>2</v>
      </c>
      <c r="F49" s="1">
        <v>5</v>
      </c>
      <c r="G49" s="1">
        <v>8</v>
      </c>
      <c r="H49" s="9" t="str">
        <f t="shared" si="0"/>
        <v>Needs improvement</v>
      </c>
      <c r="I49" s="1">
        <v>99994.94</v>
      </c>
      <c r="J49" s="1">
        <v>2023</v>
      </c>
      <c r="K49" s="1">
        <v>8.8000000000000007</v>
      </c>
      <c r="L49" s="10">
        <f t="shared" si="1"/>
        <v>0.125</v>
      </c>
      <c r="M49" s="11">
        <f t="shared" si="2"/>
        <v>0.25</v>
      </c>
      <c r="N49" s="11">
        <f t="shared" si="3"/>
        <v>0.625</v>
      </c>
      <c r="O49" s="11">
        <f>Table1456[[#This Row],[Total]]/Table1456[[#This Row],[Population]]</f>
        <v>0.90909090909090906</v>
      </c>
      <c r="P49" s="11">
        <f>(Table1456[[#This Row],[Gold]]*3)+(Table1456[[#This Row],[Silver]]*2)+(Table1456[[#This Row],[Bronze]]*1)</f>
        <v>12</v>
      </c>
      <c r="Q49" s="12">
        <f t="shared" si="4"/>
        <v>12499.3675</v>
      </c>
      <c r="R49" s="12">
        <f>PRODUCT(Table1456[[#This Row],[GDP]]*Table1456[[#This Row],[Gold]])</f>
        <v>99994.94</v>
      </c>
      <c r="S49" s="9" t="str">
        <f t="shared" si="5"/>
        <v>High GDP</v>
      </c>
      <c r="T49" s="14" t="str">
        <f t="shared" si="6"/>
        <v>Low performer</v>
      </c>
      <c r="U49" s="8"/>
      <c r="V49" s="8"/>
      <c r="W49" s="8"/>
      <c r="X49" s="8"/>
      <c r="Y49" s="8"/>
      <c r="Z49" s="8"/>
      <c r="AA49" s="8"/>
    </row>
    <row r="50" spans="1:27" x14ac:dyDescent="0.25">
      <c r="A50" s="13" t="s">
        <v>102</v>
      </c>
      <c r="B50" s="1" t="s">
        <v>103</v>
      </c>
      <c r="C50" s="1" t="s">
        <v>45</v>
      </c>
      <c r="D50" s="1">
        <v>1</v>
      </c>
      <c r="E50" s="1">
        <v>2</v>
      </c>
      <c r="F50" s="1">
        <v>2</v>
      </c>
      <c r="G50" s="1">
        <v>5</v>
      </c>
      <c r="H50" s="9" t="str">
        <f t="shared" si="0"/>
        <v>Needs improvement</v>
      </c>
      <c r="I50" s="1">
        <v>6533.35</v>
      </c>
      <c r="J50" s="1">
        <v>2023</v>
      </c>
      <c r="K50" s="1">
        <v>18.2</v>
      </c>
      <c r="L50" s="10">
        <f t="shared" si="1"/>
        <v>0.2</v>
      </c>
      <c r="M50" s="11">
        <f t="shared" si="2"/>
        <v>0.4</v>
      </c>
      <c r="N50" s="11">
        <f t="shared" si="3"/>
        <v>0.4</v>
      </c>
      <c r="O50" s="11">
        <f>Table1456[[#This Row],[Total]]/Table1456[[#This Row],[Population]]</f>
        <v>0.27472527472527475</v>
      </c>
      <c r="P50" s="11">
        <f>(Table1456[[#This Row],[Gold]]*3)+(Table1456[[#This Row],[Silver]]*2)+(Table1456[[#This Row],[Bronze]]*1)</f>
        <v>9</v>
      </c>
      <c r="Q50" s="12">
        <f t="shared" si="4"/>
        <v>1306.67</v>
      </c>
      <c r="R50" s="12">
        <f>PRODUCT(Table1456[[#This Row],[GDP]]*Table1456[[#This Row],[Gold]])</f>
        <v>6533.35</v>
      </c>
      <c r="S50" s="9" t="str">
        <f t="shared" si="5"/>
        <v>Low GDP</v>
      </c>
      <c r="T50" s="14" t="str">
        <f t="shared" si="6"/>
        <v>Low performer</v>
      </c>
      <c r="U50" s="8"/>
      <c r="V50" s="8"/>
      <c r="W50" s="8"/>
      <c r="X50" s="8"/>
      <c r="Y50" s="8"/>
      <c r="Z50" s="8"/>
      <c r="AA50" s="8"/>
    </row>
    <row r="51" spans="1:27" x14ac:dyDescent="0.25">
      <c r="A51" s="13" t="s">
        <v>104</v>
      </c>
      <c r="B51" s="1" t="s">
        <v>105</v>
      </c>
      <c r="C51" s="1" t="s">
        <v>13</v>
      </c>
      <c r="D51" s="1">
        <v>1</v>
      </c>
      <c r="E51" s="1">
        <v>2</v>
      </c>
      <c r="F51" s="1">
        <v>1</v>
      </c>
      <c r="G51" s="1">
        <v>4</v>
      </c>
      <c r="H51" s="9" t="str">
        <f t="shared" si="0"/>
        <v>Needs improvement</v>
      </c>
      <c r="I51" s="1">
        <v>27275.11</v>
      </c>
      <c r="J51" s="1">
        <v>2023</v>
      </c>
      <c r="K51" s="1">
        <v>10.5</v>
      </c>
      <c r="L51" s="10">
        <f t="shared" si="1"/>
        <v>0.25</v>
      </c>
      <c r="M51" s="11">
        <f t="shared" si="2"/>
        <v>0.5</v>
      </c>
      <c r="N51" s="11">
        <f t="shared" si="3"/>
        <v>0.25</v>
      </c>
      <c r="O51" s="11">
        <f>Table1456[[#This Row],[Total]]/Table1456[[#This Row],[Population]]</f>
        <v>0.38095238095238093</v>
      </c>
      <c r="P51" s="11">
        <f>(Table1456[[#This Row],[Gold]]*3)+(Table1456[[#This Row],[Silver]]*2)+(Table1456[[#This Row],[Bronze]]*1)</f>
        <v>8</v>
      </c>
      <c r="Q51" s="12">
        <f t="shared" si="4"/>
        <v>6818.7775000000001</v>
      </c>
      <c r="R51" s="12">
        <f>PRODUCT(Table1456[[#This Row],[GDP]]*Table1456[[#This Row],[Gold]])</f>
        <v>27275.11</v>
      </c>
      <c r="S51" s="9" t="str">
        <f t="shared" si="5"/>
        <v>Low GDP</v>
      </c>
      <c r="T51" s="14" t="str">
        <f t="shared" si="6"/>
        <v>Low performer</v>
      </c>
      <c r="U51" s="8"/>
      <c r="V51" s="8"/>
      <c r="W51" s="8"/>
      <c r="X51" s="8"/>
      <c r="Y51" s="8"/>
      <c r="Z51" s="8"/>
      <c r="AA51" s="8"/>
    </row>
    <row r="52" spans="1:27" x14ac:dyDescent="0.25">
      <c r="A52" s="13" t="s">
        <v>106</v>
      </c>
      <c r="B52" s="1" t="s">
        <v>107</v>
      </c>
      <c r="C52" s="1" t="s">
        <v>13</v>
      </c>
      <c r="D52" s="1">
        <v>1</v>
      </c>
      <c r="E52" s="1">
        <v>1</v>
      </c>
      <c r="F52" s="1">
        <v>6</v>
      </c>
      <c r="G52" s="1">
        <v>8</v>
      </c>
      <c r="H52" s="9" t="str">
        <f t="shared" si="0"/>
        <v>Needs improvement</v>
      </c>
      <c r="I52" s="1">
        <v>22990.01</v>
      </c>
      <c r="J52" s="1">
        <v>2023</v>
      </c>
      <c r="K52" s="1">
        <v>10.4</v>
      </c>
      <c r="L52" s="10">
        <f t="shared" si="1"/>
        <v>0.125</v>
      </c>
      <c r="M52" s="11">
        <f t="shared" si="2"/>
        <v>0.125</v>
      </c>
      <c r="N52" s="11">
        <f t="shared" si="3"/>
        <v>0.75</v>
      </c>
      <c r="O52" s="11">
        <f>Table1456[[#This Row],[Total]]/Table1456[[#This Row],[Population]]</f>
        <v>0.76923076923076916</v>
      </c>
      <c r="P52" s="11">
        <f>(Table1456[[#This Row],[Gold]]*3)+(Table1456[[#This Row],[Silver]]*2)+(Table1456[[#This Row],[Bronze]]*1)</f>
        <v>11</v>
      </c>
      <c r="Q52" s="12">
        <f t="shared" si="4"/>
        <v>2873.7512499999998</v>
      </c>
      <c r="R52" s="12">
        <f>PRODUCT(Table1456[[#This Row],[GDP]]*Table1456[[#This Row],[Gold]])</f>
        <v>22990.01</v>
      </c>
      <c r="S52" s="9" t="str">
        <f t="shared" si="5"/>
        <v>Low GDP</v>
      </c>
      <c r="T52" s="14" t="str">
        <f t="shared" si="6"/>
        <v>Low performer</v>
      </c>
      <c r="U52" s="8"/>
      <c r="V52" s="8"/>
      <c r="W52" s="8"/>
      <c r="X52" s="8"/>
      <c r="Y52" s="8"/>
      <c r="Z52" s="8"/>
      <c r="AA52" s="8"/>
    </row>
    <row r="53" spans="1:27" x14ac:dyDescent="0.25">
      <c r="A53" s="13" t="s">
        <v>108</v>
      </c>
      <c r="B53" s="1" t="s">
        <v>109</v>
      </c>
      <c r="C53" s="1" t="s">
        <v>45</v>
      </c>
      <c r="D53" s="1">
        <v>1</v>
      </c>
      <c r="E53" s="1">
        <v>1</v>
      </c>
      <c r="F53" s="1">
        <v>1</v>
      </c>
      <c r="G53" s="1">
        <v>3</v>
      </c>
      <c r="H53" s="9" t="str">
        <f t="shared" si="0"/>
        <v>Needs improvement</v>
      </c>
      <c r="I53" s="1">
        <v>13730.51</v>
      </c>
      <c r="J53" s="1">
        <v>2023</v>
      </c>
      <c r="K53" s="1">
        <v>46.7</v>
      </c>
      <c r="L53" s="10">
        <f t="shared" si="1"/>
        <v>0.33333333333333331</v>
      </c>
      <c r="M53" s="11">
        <f t="shared" si="2"/>
        <v>0.33333333333333331</v>
      </c>
      <c r="N53" s="11">
        <f t="shared" si="3"/>
        <v>0.33333333333333331</v>
      </c>
      <c r="O53" s="11">
        <f>Table1456[[#This Row],[Total]]/Table1456[[#This Row],[Population]]</f>
        <v>6.4239828693790149E-2</v>
      </c>
      <c r="P53" s="11">
        <f>(Table1456[[#This Row],[Gold]]*3)+(Table1456[[#This Row],[Silver]]*2)+(Table1456[[#This Row],[Bronze]]*1)</f>
        <v>6</v>
      </c>
      <c r="Q53" s="12">
        <f t="shared" si="4"/>
        <v>4576.836666666667</v>
      </c>
      <c r="R53" s="12">
        <f>PRODUCT(Table1456[[#This Row],[GDP]]*Table1456[[#This Row],[Gold]])</f>
        <v>13730.51</v>
      </c>
      <c r="S53" s="9" t="str">
        <f t="shared" si="5"/>
        <v>Low GDP</v>
      </c>
      <c r="T53" s="14" t="str">
        <f t="shared" si="6"/>
        <v>Low performer</v>
      </c>
      <c r="U53" s="8"/>
      <c r="V53" s="8"/>
      <c r="W53" s="8"/>
      <c r="X53" s="8"/>
      <c r="Y53" s="8"/>
      <c r="Z53" s="8"/>
      <c r="AA53" s="8"/>
    </row>
    <row r="54" spans="1:27" x14ac:dyDescent="0.25">
      <c r="A54" s="13" t="s">
        <v>110</v>
      </c>
      <c r="B54" s="1" t="s">
        <v>111</v>
      </c>
      <c r="C54" s="1" t="s">
        <v>38</v>
      </c>
      <c r="D54" s="1">
        <v>1</v>
      </c>
      <c r="E54" s="1">
        <v>1</v>
      </c>
      <c r="F54" s="1">
        <v>1</v>
      </c>
      <c r="G54" s="1">
        <v>3</v>
      </c>
      <c r="H54" s="9" t="str">
        <f t="shared" si="0"/>
        <v>Needs improvement</v>
      </c>
      <c r="I54" s="1">
        <v>3512.58</v>
      </c>
      <c r="J54" s="1">
        <v>2023</v>
      </c>
      <c r="K54" s="1">
        <v>112.7</v>
      </c>
      <c r="L54" s="10">
        <f t="shared" si="1"/>
        <v>0.33333333333333331</v>
      </c>
      <c r="M54" s="11">
        <f t="shared" si="2"/>
        <v>0.33333333333333331</v>
      </c>
      <c r="N54" s="11">
        <f t="shared" si="3"/>
        <v>0.33333333333333331</v>
      </c>
      <c r="O54" s="11">
        <f>Table1456[[#This Row],[Total]]/Table1456[[#This Row],[Population]]</f>
        <v>2.6619343389529725E-2</v>
      </c>
      <c r="P54" s="11">
        <f>(Table1456[[#This Row],[Gold]]*3)+(Table1456[[#This Row],[Silver]]*2)+(Table1456[[#This Row],[Bronze]]*1)</f>
        <v>6</v>
      </c>
      <c r="Q54" s="12">
        <f t="shared" si="4"/>
        <v>1170.8599999999999</v>
      </c>
      <c r="R54" s="12">
        <f>PRODUCT(Table1456[[#This Row],[GDP]]*Table1456[[#This Row],[Gold]])</f>
        <v>3512.58</v>
      </c>
      <c r="S54" s="9" t="str">
        <f t="shared" si="5"/>
        <v>Low GDP</v>
      </c>
      <c r="T54" s="14" t="str">
        <f t="shared" si="6"/>
        <v>Low performer</v>
      </c>
      <c r="U54" s="8"/>
      <c r="V54" s="8"/>
      <c r="W54" s="8"/>
      <c r="X54" s="8"/>
      <c r="Y54" s="8"/>
      <c r="Z54" s="8"/>
      <c r="AA54" s="8"/>
    </row>
    <row r="55" spans="1:27" x14ac:dyDescent="0.25">
      <c r="A55" s="13" t="s">
        <v>112</v>
      </c>
      <c r="B55" s="1" t="s">
        <v>113</v>
      </c>
      <c r="C55" s="1" t="s">
        <v>38</v>
      </c>
      <c r="D55" s="1">
        <v>1</v>
      </c>
      <c r="E55" s="1">
        <v>1</v>
      </c>
      <c r="F55" s="1">
        <v>1</v>
      </c>
      <c r="G55" s="1">
        <v>3</v>
      </c>
      <c r="H55" s="9" t="str">
        <f t="shared" si="0"/>
        <v>Needs improvement</v>
      </c>
      <c r="I55" s="1">
        <v>3895.39</v>
      </c>
      <c r="J55" s="1">
        <v>2023</v>
      </c>
      <c r="K55" s="1">
        <v>12.5</v>
      </c>
      <c r="L55" s="10">
        <f t="shared" si="1"/>
        <v>0.33333333333333331</v>
      </c>
      <c r="M55" s="11">
        <f t="shared" si="2"/>
        <v>0.33333333333333331</v>
      </c>
      <c r="N55" s="11">
        <f t="shared" si="3"/>
        <v>0.33333333333333331</v>
      </c>
      <c r="O55" s="11">
        <f>Table1456[[#This Row],[Total]]/Table1456[[#This Row],[Population]]</f>
        <v>0.24</v>
      </c>
      <c r="P55" s="11">
        <f>(Table1456[[#This Row],[Gold]]*3)+(Table1456[[#This Row],[Silver]]*2)+(Table1456[[#This Row],[Bronze]]*1)</f>
        <v>6</v>
      </c>
      <c r="Q55" s="12">
        <f t="shared" si="4"/>
        <v>1298.4633333333334</v>
      </c>
      <c r="R55" s="12">
        <f>PRODUCT(Table1456[[#This Row],[GDP]]*Table1456[[#This Row],[Gold]])</f>
        <v>3895.39</v>
      </c>
      <c r="S55" s="9" t="str">
        <f t="shared" si="5"/>
        <v>Low GDP</v>
      </c>
      <c r="T55" s="14" t="str">
        <f t="shared" si="6"/>
        <v>Low performer</v>
      </c>
      <c r="U55" s="8"/>
      <c r="V55" s="8"/>
      <c r="W55" s="8"/>
      <c r="X55" s="8"/>
      <c r="Y55" s="8"/>
      <c r="Z55" s="8"/>
      <c r="AA55" s="8"/>
    </row>
    <row r="56" spans="1:27" x14ac:dyDescent="0.25">
      <c r="A56" s="13" t="s">
        <v>114</v>
      </c>
      <c r="B56" s="1" t="s">
        <v>115</v>
      </c>
      <c r="C56" s="1" t="s">
        <v>38</v>
      </c>
      <c r="D56" s="1">
        <v>1</v>
      </c>
      <c r="E56" s="1">
        <v>1</v>
      </c>
      <c r="F56" s="1">
        <v>0</v>
      </c>
      <c r="G56" s="1">
        <v>2</v>
      </c>
      <c r="H56" s="9" t="str">
        <f t="shared" si="0"/>
        <v>Needs improvement</v>
      </c>
      <c r="I56" s="1">
        <v>7249.8</v>
      </c>
      <c r="J56" s="1">
        <v>2023</v>
      </c>
      <c r="K56" s="1">
        <v>2.7</v>
      </c>
      <c r="L56" s="10">
        <f t="shared" si="1"/>
        <v>0.5</v>
      </c>
      <c r="M56" s="11">
        <f t="shared" si="2"/>
        <v>0.5</v>
      </c>
      <c r="N56" s="11">
        <f t="shared" si="3"/>
        <v>0</v>
      </c>
      <c r="O56" s="11">
        <f>Table1456[[#This Row],[Total]]/Table1456[[#This Row],[Population]]</f>
        <v>0.7407407407407407</v>
      </c>
      <c r="P56" s="11">
        <f>(Table1456[[#This Row],[Gold]]*3)+(Table1456[[#This Row],[Silver]]*2)+(Table1456[[#This Row],[Bronze]]*1)</f>
        <v>5</v>
      </c>
      <c r="Q56" s="12">
        <f t="shared" si="4"/>
        <v>3624.9</v>
      </c>
      <c r="R56" s="12">
        <f>PRODUCT(Table1456[[#This Row],[GDP]]*Table1456[[#This Row],[Gold]])</f>
        <v>7249.8</v>
      </c>
      <c r="S56" s="9" t="str">
        <f t="shared" si="5"/>
        <v>Low GDP</v>
      </c>
      <c r="T56" s="14" t="str">
        <f t="shared" si="6"/>
        <v>Low performer</v>
      </c>
      <c r="U56" s="8"/>
      <c r="V56" s="8"/>
      <c r="W56" s="8"/>
      <c r="X56" s="8"/>
      <c r="Y56" s="8"/>
      <c r="Z56" s="8"/>
      <c r="AA56" s="8"/>
    </row>
    <row r="57" spans="1:27" x14ac:dyDescent="0.25">
      <c r="A57" s="13" t="s">
        <v>116</v>
      </c>
      <c r="B57" s="1" t="s">
        <v>117</v>
      </c>
      <c r="C57" s="1" t="s">
        <v>45</v>
      </c>
      <c r="D57" s="1">
        <v>1</v>
      </c>
      <c r="E57" s="1">
        <v>1</v>
      </c>
      <c r="F57" s="1">
        <v>0</v>
      </c>
      <c r="G57" s="1">
        <v>2</v>
      </c>
      <c r="H57" s="9" t="str">
        <f t="shared" si="0"/>
        <v>Needs improvement</v>
      </c>
      <c r="I57" s="1">
        <v>17093.240000000002</v>
      </c>
      <c r="J57" s="1">
        <v>2023</v>
      </c>
      <c r="K57" s="1">
        <v>19.600000000000001</v>
      </c>
      <c r="L57" s="10">
        <f t="shared" si="1"/>
        <v>0.5</v>
      </c>
      <c r="M57" s="11">
        <f t="shared" si="2"/>
        <v>0.5</v>
      </c>
      <c r="N57" s="11">
        <f t="shared" si="3"/>
        <v>0</v>
      </c>
      <c r="O57" s="11">
        <f>Table1456[[#This Row],[Total]]/Table1456[[#This Row],[Population]]</f>
        <v>0.1020408163265306</v>
      </c>
      <c r="P57" s="11">
        <f>(Table1456[[#This Row],[Gold]]*3)+(Table1456[[#This Row],[Silver]]*2)+(Table1456[[#This Row],[Bronze]]*1)</f>
        <v>5</v>
      </c>
      <c r="Q57" s="12">
        <f t="shared" si="4"/>
        <v>8546.6200000000008</v>
      </c>
      <c r="R57" s="12">
        <f>PRODUCT(Table1456[[#This Row],[GDP]]*Table1456[[#This Row],[Gold]])</f>
        <v>17093.240000000002</v>
      </c>
      <c r="S57" s="9" t="str">
        <f t="shared" si="5"/>
        <v>Low GDP</v>
      </c>
      <c r="T57" s="14" t="str">
        <f t="shared" si="6"/>
        <v>Low performer</v>
      </c>
      <c r="U57" s="8"/>
      <c r="V57" s="8"/>
      <c r="W57" s="8"/>
      <c r="X57" s="8"/>
      <c r="Y57" s="8"/>
      <c r="Z57" s="8"/>
      <c r="AA57" s="8"/>
    </row>
    <row r="58" spans="1:27" x14ac:dyDescent="0.25">
      <c r="A58" s="13" t="s">
        <v>118</v>
      </c>
      <c r="B58" s="1" t="s">
        <v>119</v>
      </c>
      <c r="C58" s="1" t="s">
        <v>120</v>
      </c>
      <c r="D58" s="1">
        <v>1</v>
      </c>
      <c r="E58" s="1">
        <v>1</v>
      </c>
      <c r="F58" s="1">
        <v>0</v>
      </c>
      <c r="G58" s="1">
        <v>2</v>
      </c>
      <c r="H58" s="9" t="str">
        <f t="shared" si="0"/>
        <v>Needs improvement</v>
      </c>
      <c r="I58" s="1">
        <v>13980.09</v>
      </c>
      <c r="J58" s="1">
        <v>2023</v>
      </c>
      <c r="K58" s="1">
        <v>0.2</v>
      </c>
      <c r="L58" s="10">
        <f t="shared" si="1"/>
        <v>0.5</v>
      </c>
      <c r="M58" s="11">
        <f t="shared" si="2"/>
        <v>0.5</v>
      </c>
      <c r="N58" s="11">
        <f t="shared" si="3"/>
        <v>0</v>
      </c>
      <c r="O58" s="11">
        <f>Table1456[[#This Row],[Total]]/Table1456[[#This Row],[Population]]</f>
        <v>10</v>
      </c>
      <c r="P58" s="11">
        <f>(Table1456[[#This Row],[Gold]]*3)+(Table1456[[#This Row],[Silver]]*2)+(Table1456[[#This Row],[Bronze]]*1)</f>
        <v>5</v>
      </c>
      <c r="Q58" s="12">
        <f t="shared" si="4"/>
        <v>6990.0450000000001</v>
      </c>
      <c r="R58" s="12">
        <f>PRODUCT(Table1456[[#This Row],[GDP]]*Table1456[[#This Row],[Gold]])</f>
        <v>13980.09</v>
      </c>
      <c r="S58" s="9" t="str">
        <f t="shared" si="5"/>
        <v>Low GDP</v>
      </c>
      <c r="T58" s="14" t="str">
        <f t="shared" si="6"/>
        <v>Low performer</v>
      </c>
      <c r="U58" s="8"/>
      <c r="V58" s="8"/>
      <c r="W58" s="8"/>
      <c r="X58" s="8"/>
      <c r="Y58" s="8"/>
      <c r="Z58" s="8"/>
      <c r="AA58" s="8"/>
    </row>
    <row r="59" spans="1:27" x14ac:dyDescent="0.25">
      <c r="A59" s="13" t="s">
        <v>121</v>
      </c>
      <c r="B59" s="1" t="s">
        <v>122</v>
      </c>
      <c r="C59" s="1" t="s">
        <v>38</v>
      </c>
      <c r="D59" s="1">
        <v>1</v>
      </c>
      <c r="E59" s="1">
        <v>1</v>
      </c>
      <c r="F59" s="1">
        <v>0</v>
      </c>
      <c r="G59" s="1">
        <v>2</v>
      </c>
      <c r="H59" s="9" t="str">
        <f t="shared" si="0"/>
        <v>Needs improvement</v>
      </c>
      <c r="I59" s="1">
        <v>1014.21</v>
      </c>
      <c r="J59" s="1">
        <v>2023</v>
      </c>
      <c r="K59" s="1">
        <v>48.6</v>
      </c>
      <c r="L59" s="10">
        <f t="shared" si="1"/>
        <v>0.5</v>
      </c>
      <c r="M59" s="11">
        <f t="shared" si="2"/>
        <v>0.5</v>
      </c>
      <c r="N59" s="11">
        <f t="shared" si="3"/>
        <v>0</v>
      </c>
      <c r="O59" s="11">
        <f>Table1456[[#This Row],[Total]]/Table1456[[#This Row],[Population]]</f>
        <v>4.1152263374485597E-2</v>
      </c>
      <c r="P59" s="11">
        <f>(Table1456[[#This Row],[Gold]]*3)+(Table1456[[#This Row],[Silver]]*2)+(Table1456[[#This Row],[Bronze]]*1)</f>
        <v>5</v>
      </c>
      <c r="Q59" s="12">
        <f t="shared" si="4"/>
        <v>507.10500000000002</v>
      </c>
      <c r="R59" s="12">
        <f>PRODUCT(Table1456[[#This Row],[GDP]]*Table1456[[#This Row],[Gold]])</f>
        <v>1014.21</v>
      </c>
      <c r="S59" s="9" t="str">
        <f t="shared" si="5"/>
        <v>Low GDP</v>
      </c>
      <c r="T59" s="14" t="str">
        <f t="shared" si="6"/>
        <v>Low performer</v>
      </c>
      <c r="U59" s="8"/>
      <c r="V59" s="8"/>
      <c r="W59" s="8"/>
      <c r="X59" s="8"/>
      <c r="Y59" s="8"/>
      <c r="Z59" s="8"/>
      <c r="AA59" s="8"/>
    </row>
    <row r="60" spans="1:27" x14ac:dyDescent="0.25">
      <c r="A60" s="13" t="s">
        <v>123</v>
      </c>
      <c r="B60" s="1" t="s">
        <v>124</v>
      </c>
      <c r="C60" s="1" t="s">
        <v>2</v>
      </c>
      <c r="D60" s="1">
        <v>1</v>
      </c>
      <c r="E60" s="1">
        <v>0</v>
      </c>
      <c r="F60" s="1">
        <v>2</v>
      </c>
      <c r="G60" s="1">
        <v>3</v>
      </c>
      <c r="H60" s="9" t="str">
        <f t="shared" si="0"/>
        <v>Needs improvement</v>
      </c>
      <c r="I60" s="1">
        <v>10716.01</v>
      </c>
      <c r="J60" s="1">
        <v>2023</v>
      </c>
      <c r="K60" s="1">
        <v>11.3</v>
      </c>
      <c r="L60" s="10">
        <f t="shared" si="1"/>
        <v>0.33333333333333331</v>
      </c>
      <c r="M60" s="11">
        <f t="shared" si="2"/>
        <v>0</v>
      </c>
      <c r="N60" s="11">
        <f t="shared" si="3"/>
        <v>0.66666666666666663</v>
      </c>
      <c r="O60" s="11">
        <f>Table1456[[#This Row],[Total]]/Table1456[[#This Row],[Population]]</f>
        <v>0.26548672566371678</v>
      </c>
      <c r="P60" s="11">
        <f>(Table1456[[#This Row],[Gold]]*3)+(Table1456[[#This Row],[Silver]]*2)+(Table1456[[#This Row],[Bronze]]*1)</f>
        <v>5</v>
      </c>
      <c r="Q60" s="12">
        <f t="shared" si="4"/>
        <v>3572.0033333333336</v>
      </c>
      <c r="R60" s="12">
        <f>PRODUCT(Table1456[[#This Row],[GDP]]*Table1456[[#This Row],[Gold]])</f>
        <v>10716.01</v>
      </c>
      <c r="S60" s="9" t="str">
        <f t="shared" si="5"/>
        <v>Low GDP</v>
      </c>
      <c r="T60" s="14" t="str">
        <f t="shared" si="6"/>
        <v>Low performer</v>
      </c>
      <c r="U60" s="8"/>
      <c r="V60" s="8"/>
      <c r="W60" s="8"/>
      <c r="X60" s="8"/>
      <c r="Y60" s="8"/>
      <c r="Z60" s="8"/>
      <c r="AA60" s="8"/>
    </row>
    <row r="61" spans="1:27" x14ac:dyDescent="0.25">
      <c r="A61" s="13" t="s">
        <v>125</v>
      </c>
      <c r="B61" s="1" t="s">
        <v>126</v>
      </c>
      <c r="C61" s="1" t="s">
        <v>2</v>
      </c>
      <c r="D61" s="1">
        <v>1</v>
      </c>
      <c r="E61" s="1">
        <v>0</v>
      </c>
      <c r="F61" s="1">
        <v>1</v>
      </c>
      <c r="G61" s="1">
        <v>2</v>
      </c>
      <c r="H61" s="9" t="str">
        <f t="shared" si="0"/>
        <v>Needs improvement</v>
      </c>
      <c r="I61" s="1">
        <v>5797.52</v>
      </c>
      <c r="J61" s="1">
        <v>2023</v>
      </c>
      <c r="K61" s="1">
        <v>17.600000000000001</v>
      </c>
      <c r="L61" s="10">
        <f t="shared" si="1"/>
        <v>0.5</v>
      </c>
      <c r="M61" s="11">
        <f t="shared" si="2"/>
        <v>0</v>
      </c>
      <c r="N61" s="11">
        <f t="shared" si="3"/>
        <v>0.5</v>
      </c>
      <c r="O61" s="11">
        <f>Table1456[[#This Row],[Total]]/Table1456[[#This Row],[Population]]</f>
        <v>0.11363636363636363</v>
      </c>
      <c r="P61" s="11">
        <f>(Table1456[[#This Row],[Gold]]*3)+(Table1456[[#This Row],[Silver]]*2)+(Table1456[[#This Row],[Bronze]]*1)</f>
        <v>4</v>
      </c>
      <c r="Q61" s="12">
        <f t="shared" si="4"/>
        <v>2898.76</v>
      </c>
      <c r="R61" s="12">
        <f>PRODUCT(Table1456[[#This Row],[GDP]]*Table1456[[#This Row],[Gold]])</f>
        <v>5797.52</v>
      </c>
      <c r="S61" s="9" t="str">
        <f t="shared" si="5"/>
        <v>Low GDP</v>
      </c>
      <c r="T61" s="14" t="str">
        <f t="shared" si="6"/>
        <v>Low performer</v>
      </c>
      <c r="U61" s="8"/>
      <c r="V61" s="8"/>
      <c r="W61" s="8"/>
      <c r="X61" s="8"/>
      <c r="Y61" s="8"/>
      <c r="Z61" s="8"/>
      <c r="AA61" s="8"/>
    </row>
    <row r="62" spans="1:27" x14ac:dyDescent="0.25">
      <c r="A62" s="13" t="s">
        <v>127</v>
      </c>
      <c r="B62" s="1" t="s">
        <v>128</v>
      </c>
      <c r="C62" s="1" t="s">
        <v>38</v>
      </c>
      <c r="D62" s="1">
        <v>1</v>
      </c>
      <c r="E62" s="1">
        <v>0</v>
      </c>
      <c r="F62" s="1">
        <v>1</v>
      </c>
      <c r="G62" s="1">
        <v>2</v>
      </c>
      <c r="H62" s="9" t="str">
        <f t="shared" si="0"/>
        <v>Needs improvement</v>
      </c>
      <c r="I62" s="1">
        <v>3672.11</v>
      </c>
      <c r="J62" s="1">
        <v>2023</v>
      </c>
      <c r="K62" s="1">
        <v>37.799999999999997</v>
      </c>
      <c r="L62" s="10">
        <f t="shared" si="1"/>
        <v>0.5</v>
      </c>
      <c r="M62" s="11">
        <f t="shared" si="2"/>
        <v>0</v>
      </c>
      <c r="N62" s="11">
        <f t="shared" si="3"/>
        <v>0.5</v>
      </c>
      <c r="O62" s="11">
        <f>Table1456[[#This Row],[Total]]/Table1456[[#This Row],[Population]]</f>
        <v>5.2910052910052914E-2</v>
      </c>
      <c r="P62" s="11">
        <f>(Table1456[[#This Row],[Gold]]*3)+(Table1456[[#This Row],[Silver]]*2)+(Table1456[[#This Row],[Bronze]]*1)</f>
        <v>4</v>
      </c>
      <c r="Q62" s="12">
        <f t="shared" si="4"/>
        <v>1836.0550000000001</v>
      </c>
      <c r="R62" s="12">
        <f>PRODUCT(Table1456[[#This Row],[GDP]]*Table1456[[#This Row],[Gold]])</f>
        <v>3672.11</v>
      </c>
      <c r="S62" s="9" t="str">
        <f t="shared" si="5"/>
        <v>Low GDP</v>
      </c>
      <c r="T62" s="14" t="str">
        <f t="shared" si="6"/>
        <v>Low performer</v>
      </c>
      <c r="U62" s="8"/>
      <c r="V62" s="8"/>
      <c r="W62" s="8"/>
      <c r="X62" s="8"/>
      <c r="Y62" s="8"/>
      <c r="Z62" s="8"/>
      <c r="AA62" s="8"/>
    </row>
    <row r="63" spans="1:27" x14ac:dyDescent="0.25">
      <c r="A63" s="13" t="s">
        <v>129</v>
      </c>
      <c r="B63" s="1" t="s">
        <v>130</v>
      </c>
      <c r="C63" s="1" t="s">
        <v>120</v>
      </c>
      <c r="D63" s="1">
        <v>1</v>
      </c>
      <c r="E63" s="1">
        <v>0</v>
      </c>
      <c r="F63" s="1">
        <v>0</v>
      </c>
      <c r="G63" s="1">
        <v>1</v>
      </c>
      <c r="H63" s="9" t="str">
        <f t="shared" si="0"/>
        <v>Needs improvement</v>
      </c>
      <c r="I63" s="1">
        <v>8953.9</v>
      </c>
      <c r="J63" s="1">
        <v>2023</v>
      </c>
      <c r="K63" s="1">
        <v>0.1</v>
      </c>
      <c r="L63" s="10">
        <f t="shared" si="1"/>
        <v>1</v>
      </c>
      <c r="M63" s="11">
        <f t="shared" si="2"/>
        <v>0</v>
      </c>
      <c r="N63" s="11">
        <f t="shared" si="3"/>
        <v>0</v>
      </c>
      <c r="O63" s="11">
        <f>Table1456[[#This Row],[Total]]/Table1456[[#This Row],[Population]]</f>
        <v>10</v>
      </c>
      <c r="P63" s="11">
        <f>(Table1456[[#This Row],[Gold]]*3)+(Table1456[[#This Row],[Silver]]*2)+(Table1456[[#This Row],[Bronze]]*1)</f>
        <v>3</v>
      </c>
      <c r="Q63" s="12">
        <f t="shared" si="4"/>
        <v>8953.9</v>
      </c>
      <c r="R63" s="12">
        <f>PRODUCT(Table1456[[#This Row],[GDP]]*Table1456[[#This Row],[Gold]])</f>
        <v>8953.9</v>
      </c>
      <c r="S63" s="9" t="str">
        <f t="shared" si="5"/>
        <v>Low GDP</v>
      </c>
      <c r="T63" s="14" t="str">
        <f t="shared" si="6"/>
        <v>Low performer</v>
      </c>
      <c r="U63" s="8"/>
      <c r="V63" s="8"/>
      <c r="W63" s="8"/>
      <c r="X63" s="8"/>
      <c r="Y63" s="8"/>
      <c r="Z63" s="8"/>
      <c r="AA63" s="8"/>
    </row>
    <row r="64" spans="1:27" x14ac:dyDescent="0.25">
      <c r="A64" s="13" t="s">
        <v>131</v>
      </c>
      <c r="B64" s="1" t="s">
        <v>132</v>
      </c>
      <c r="C64" s="1" t="s">
        <v>5</v>
      </c>
      <c r="D64" s="1">
        <v>1</v>
      </c>
      <c r="E64" s="1">
        <v>0</v>
      </c>
      <c r="F64" s="1">
        <v>0</v>
      </c>
      <c r="G64" s="1">
        <v>1</v>
      </c>
      <c r="H64" s="9" t="str">
        <f t="shared" si="0"/>
        <v>Needs improvement</v>
      </c>
      <c r="I64" s="1">
        <v>1407.02</v>
      </c>
      <c r="J64" s="1">
        <v>2023</v>
      </c>
      <c r="K64" s="1">
        <v>240.5</v>
      </c>
      <c r="L64" s="10">
        <f t="shared" si="1"/>
        <v>1</v>
      </c>
      <c r="M64" s="11">
        <f t="shared" si="2"/>
        <v>0</v>
      </c>
      <c r="N64" s="11">
        <f t="shared" si="3"/>
        <v>0</v>
      </c>
      <c r="O64" s="11">
        <f>Table1456[[#This Row],[Total]]/Table1456[[#This Row],[Population]]</f>
        <v>4.1580041580041582E-3</v>
      </c>
      <c r="P64" s="11">
        <f>(Table1456[[#This Row],[Gold]]*3)+(Table1456[[#This Row],[Silver]]*2)+(Table1456[[#This Row],[Bronze]]*1)</f>
        <v>3</v>
      </c>
      <c r="Q64" s="12">
        <f t="shared" si="4"/>
        <v>1407.02</v>
      </c>
      <c r="R64" s="12">
        <f>PRODUCT(Table1456[[#This Row],[GDP]]*Table1456[[#This Row],[Gold]])</f>
        <v>1407.02</v>
      </c>
      <c r="S64" s="9" t="str">
        <f t="shared" si="5"/>
        <v>Low GDP</v>
      </c>
      <c r="T64" s="14" t="str">
        <f t="shared" si="6"/>
        <v>Low performer</v>
      </c>
      <c r="U64" s="8"/>
      <c r="V64" s="8"/>
      <c r="W64" s="8"/>
      <c r="X64" s="8"/>
      <c r="Y64" s="8"/>
      <c r="Z64" s="8"/>
      <c r="AA64" s="8"/>
    </row>
    <row r="65" spans="1:27" x14ac:dyDescent="0.25">
      <c r="A65" s="13" t="s">
        <v>133</v>
      </c>
      <c r="B65" s="1" t="s">
        <v>134</v>
      </c>
      <c r="C65" s="1" t="s">
        <v>5</v>
      </c>
      <c r="D65" s="1">
        <v>0</v>
      </c>
      <c r="E65" s="1">
        <v>3</v>
      </c>
      <c r="F65" s="1">
        <v>5</v>
      </c>
      <c r="G65" s="1">
        <v>8</v>
      </c>
      <c r="H65" s="9" t="str">
        <f t="shared" si="0"/>
        <v>Needs improvement</v>
      </c>
      <c r="I65" s="1">
        <v>12985.75</v>
      </c>
      <c r="J65" s="1">
        <v>2023</v>
      </c>
      <c r="K65" s="1">
        <v>85.3</v>
      </c>
      <c r="L65" s="10">
        <f t="shared" si="1"/>
        <v>0</v>
      </c>
      <c r="M65" s="11">
        <f t="shared" si="2"/>
        <v>0.375</v>
      </c>
      <c r="N65" s="11">
        <f t="shared" si="3"/>
        <v>0.625</v>
      </c>
      <c r="O65" s="11">
        <f>Table1456[[#This Row],[Total]]/Table1456[[#This Row],[Population]]</f>
        <v>9.3786635404454866E-2</v>
      </c>
      <c r="P65" s="11">
        <f>(Table1456[[#This Row],[Gold]]*3)+(Table1456[[#This Row],[Silver]]*2)+(Table1456[[#This Row],[Bronze]]*1)</f>
        <v>11</v>
      </c>
      <c r="Q65" s="12">
        <f t="shared" si="4"/>
        <v>1623.21875</v>
      </c>
      <c r="R65" s="12">
        <f>PRODUCT(Table1456[[#This Row],[GDP]]*Table1456[[#This Row],[Gold]])</f>
        <v>0</v>
      </c>
      <c r="S65" s="9" t="str">
        <f t="shared" si="5"/>
        <v>Low GDP</v>
      </c>
      <c r="T65" s="14" t="str">
        <f t="shared" si="6"/>
        <v>Low performer</v>
      </c>
      <c r="U65" s="8"/>
      <c r="V65" s="8"/>
      <c r="W65" s="8"/>
      <c r="X65" s="8"/>
      <c r="Y65" s="8"/>
      <c r="Z65" s="8"/>
      <c r="AA65" s="8"/>
    </row>
    <row r="66" spans="1:27" x14ac:dyDescent="0.25">
      <c r="A66" s="13" t="s">
        <v>135</v>
      </c>
      <c r="B66" s="1" t="s">
        <v>136</v>
      </c>
      <c r="C66" s="1" t="s">
        <v>2</v>
      </c>
      <c r="D66" s="1">
        <v>0</v>
      </c>
      <c r="E66" s="1">
        <v>3</v>
      </c>
      <c r="F66" s="1">
        <v>2</v>
      </c>
      <c r="G66" s="1">
        <v>5</v>
      </c>
      <c r="H66" s="9" t="str">
        <f t="shared" si="0"/>
        <v>Needs improvement</v>
      </c>
      <c r="I66" s="1">
        <v>13926.11</v>
      </c>
      <c r="J66" s="1">
        <v>2023</v>
      </c>
      <c r="K66" s="1">
        <v>128.5</v>
      </c>
      <c r="L66" s="10">
        <f t="shared" si="1"/>
        <v>0</v>
      </c>
      <c r="M66" s="11">
        <f t="shared" si="2"/>
        <v>0.6</v>
      </c>
      <c r="N66" s="11">
        <f t="shared" si="3"/>
        <v>0.4</v>
      </c>
      <c r="O66" s="11">
        <f>Table1456[[#This Row],[Total]]/Table1456[[#This Row],[Population]]</f>
        <v>3.8910505836575876E-2</v>
      </c>
      <c r="P66" s="11">
        <f>(Table1456[[#This Row],[Gold]]*3)+(Table1456[[#This Row],[Silver]]*2)+(Table1456[[#This Row],[Bronze]]*1)</f>
        <v>8</v>
      </c>
      <c r="Q66" s="12">
        <f t="shared" si="4"/>
        <v>2785.2220000000002</v>
      </c>
      <c r="R66" s="12">
        <f>PRODUCT(Table1456[[#This Row],[GDP]]*Table1456[[#This Row],[Gold]])</f>
        <v>0</v>
      </c>
      <c r="S66" s="9" t="str">
        <f t="shared" si="5"/>
        <v>Low GDP</v>
      </c>
      <c r="T66" s="14" t="str">
        <f t="shared" si="6"/>
        <v>Low performer</v>
      </c>
      <c r="U66" s="8"/>
      <c r="V66" s="8"/>
      <c r="W66" s="8"/>
      <c r="X66" s="8"/>
      <c r="Y66" s="8"/>
      <c r="Z66" s="8"/>
      <c r="AA66" s="8"/>
    </row>
    <row r="67" spans="1:27" x14ac:dyDescent="0.25">
      <c r="A67" s="13" t="s">
        <v>137</v>
      </c>
      <c r="B67" s="1" t="s">
        <v>138</v>
      </c>
      <c r="C67" s="1" t="s">
        <v>5</v>
      </c>
      <c r="D67" s="1">
        <v>0</v>
      </c>
      <c r="E67" s="1">
        <v>3</v>
      </c>
      <c r="F67" s="1">
        <v>1</v>
      </c>
      <c r="G67" s="1">
        <v>4</v>
      </c>
      <c r="H67" s="9" t="str">
        <f t="shared" ref="H67:H91" si="7">IF(G67&gt;=100,"Excellent","Needs improvement")</f>
        <v>Needs improvement</v>
      </c>
      <c r="I67" s="1">
        <v>8715.77</v>
      </c>
      <c r="J67" s="1">
        <v>2023</v>
      </c>
      <c r="K67" s="1">
        <v>2.8</v>
      </c>
      <c r="L67" s="10">
        <f t="shared" ref="L67:L91" si="8">D67/G67</f>
        <v>0</v>
      </c>
      <c r="M67" s="11">
        <f t="shared" ref="M67:M91" si="9">E67/G67</f>
        <v>0.75</v>
      </c>
      <c r="N67" s="11">
        <f t="shared" ref="N67:N91" si="10">F67/G67</f>
        <v>0.25</v>
      </c>
      <c r="O67" s="11">
        <f>Table1456[[#This Row],[Total]]/Table1456[[#This Row],[Population]]</f>
        <v>1.4285714285714286</v>
      </c>
      <c r="P67" s="11">
        <f>(Table1456[[#This Row],[Gold]]*3)+(Table1456[[#This Row],[Silver]]*2)+(Table1456[[#This Row],[Bronze]]*1)</f>
        <v>7</v>
      </c>
      <c r="Q67" s="12">
        <f t="shared" ref="Q67:Q91" si="11">I67/G67</f>
        <v>2178.9425000000001</v>
      </c>
      <c r="R67" s="12">
        <f>PRODUCT(Table1456[[#This Row],[GDP]]*Table1456[[#This Row],[Gold]])</f>
        <v>0</v>
      </c>
      <c r="S67" s="9" t="str">
        <f t="shared" ref="S67:S91" si="12">IF(I67&gt;=50000,"High GDP","Low GDP")</f>
        <v>Low GDP</v>
      </c>
      <c r="T67" s="14" t="str">
        <f t="shared" ref="T67:T91" si="13">IF(D67&gt;=20,"Top performer","Low performer")</f>
        <v>Low performer</v>
      </c>
      <c r="U67" s="8"/>
      <c r="V67" s="8"/>
      <c r="W67" s="8"/>
      <c r="X67" s="8"/>
      <c r="Y67" s="8"/>
      <c r="Z67" s="8"/>
      <c r="AA67" s="8"/>
    </row>
    <row r="68" spans="1:27" x14ac:dyDescent="0.25">
      <c r="A68" s="13" t="s">
        <v>139</v>
      </c>
      <c r="B68" s="1" t="s">
        <v>140</v>
      </c>
      <c r="C68" s="1" t="s">
        <v>45</v>
      </c>
      <c r="D68" s="1">
        <v>0</v>
      </c>
      <c r="E68" s="1">
        <v>3</v>
      </c>
      <c r="F68" s="1">
        <v>1</v>
      </c>
      <c r="G68" s="1">
        <v>4</v>
      </c>
      <c r="H68" s="9" t="str">
        <f t="shared" si="7"/>
        <v>Needs improvement</v>
      </c>
      <c r="I68" s="1">
        <v>6979.73</v>
      </c>
      <c r="J68" s="1">
        <v>2023</v>
      </c>
      <c r="K68" s="1">
        <v>52.1</v>
      </c>
      <c r="L68" s="10">
        <f t="shared" si="8"/>
        <v>0</v>
      </c>
      <c r="M68" s="11">
        <f t="shared" si="9"/>
        <v>0.75</v>
      </c>
      <c r="N68" s="11">
        <f t="shared" si="10"/>
        <v>0.25</v>
      </c>
      <c r="O68" s="11">
        <f>Table1456[[#This Row],[Total]]/Table1456[[#This Row],[Population]]</f>
        <v>7.6775431861804216E-2</v>
      </c>
      <c r="P68" s="11">
        <f>(Table1456[[#This Row],[Gold]]*3)+(Table1456[[#This Row],[Silver]]*2)+(Table1456[[#This Row],[Bronze]]*1)</f>
        <v>7</v>
      </c>
      <c r="Q68" s="12">
        <f t="shared" si="11"/>
        <v>1744.9324999999999</v>
      </c>
      <c r="R68" s="12">
        <f>PRODUCT(Table1456[[#This Row],[GDP]]*Table1456[[#This Row],[Gold]])</f>
        <v>0</v>
      </c>
      <c r="S68" s="9" t="str">
        <f t="shared" si="12"/>
        <v>Low GDP</v>
      </c>
      <c r="T68" s="14" t="str">
        <f t="shared" si="13"/>
        <v>Low performer</v>
      </c>
      <c r="U68" s="8"/>
      <c r="V68" s="8"/>
      <c r="W68" s="8"/>
      <c r="X68" s="8"/>
      <c r="Y68" s="8"/>
      <c r="Z68" s="8"/>
      <c r="AA68" s="8"/>
    </row>
    <row r="69" spans="1:27" x14ac:dyDescent="0.25">
      <c r="A69" s="13" t="s">
        <v>141</v>
      </c>
      <c r="B69" s="1" t="s">
        <v>142</v>
      </c>
      <c r="C69" s="1" t="s">
        <v>5</v>
      </c>
      <c r="D69" s="1">
        <v>0</v>
      </c>
      <c r="E69" s="1">
        <v>2</v>
      </c>
      <c r="F69" s="1">
        <v>4</v>
      </c>
      <c r="G69" s="1">
        <v>6</v>
      </c>
      <c r="H69" s="9" t="str">
        <f t="shared" si="7"/>
        <v>Needs improvement</v>
      </c>
      <c r="I69" s="1">
        <v>1217</v>
      </c>
      <c r="J69" s="1">
        <v>2023</v>
      </c>
      <c r="K69" s="1">
        <v>26.2</v>
      </c>
      <c r="L69" s="10">
        <f t="shared" si="8"/>
        <v>0</v>
      </c>
      <c r="M69" s="11">
        <f t="shared" si="9"/>
        <v>0.33333333333333331</v>
      </c>
      <c r="N69" s="11">
        <f t="shared" si="10"/>
        <v>0.66666666666666663</v>
      </c>
      <c r="O69" s="11">
        <f>Table1456[[#This Row],[Total]]/Table1456[[#This Row],[Population]]</f>
        <v>0.22900763358778625</v>
      </c>
      <c r="P69" s="11">
        <f>(Table1456[[#This Row],[Gold]]*3)+(Table1456[[#This Row],[Silver]]*2)+(Table1456[[#This Row],[Bronze]]*1)</f>
        <v>8</v>
      </c>
      <c r="Q69" s="12">
        <f t="shared" si="11"/>
        <v>202.83333333333334</v>
      </c>
      <c r="R69" s="12">
        <f>PRODUCT(Table1456[[#This Row],[GDP]]*Table1456[[#This Row],[Gold]])</f>
        <v>0</v>
      </c>
      <c r="S69" s="9" t="str">
        <f t="shared" si="12"/>
        <v>Low GDP</v>
      </c>
      <c r="T69" s="14" t="str">
        <f t="shared" si="13"/>
        <v>Low performer</v>
      </c>
      <c r="U69" s="8"/>
      <c r="V69" s="8"/>
      <c r="W69" s="8"/>
      <c r="X69" s="8"/>
      <c r="Y69" s="8"/>
      <c r="Z69" s="8"/>
      <c r="AA69" s="8"/>
    </row>
    <row r="70" spans="1:27" x14ac:dyDescent="0.25">
      <c r="A70" s="13" t="s">
        <v>143</v>
      </c>
      <c r="B70" s="1" t="s">
        <v>144</v>
      </c>
      <c r="C70" s="1" t="s">
        <v>5</v>
      </c>
      <c r="D70" s="1">
        <v>0</v>
      </c>
      <c r="E70" s="1">
        <v>2</v>
      </c>
      <c r="F70" s="1">
        <v>4</v>
      </c>
      <c r="G70" s="1">
        <v>6</v>
      </c>
      <c r="H70" s="9" t="str">
        <f t="shared" si="7"/>
        <v>Needs improvement</v>
      </c>
      <c r="I70" s="1">
        <v>1969.87</v>
      </c>
      <c r="J70" s="1">
        <v>2023</v>
      </c>
      <c r="K70" s="1">
        <v>7.1</v>
      </c>
      <c r="L70" s="10">
        <f t="shared" si="8"/>
        <v>0</v>
      </c>
      <c r="M70" s="11">
        <f t="shared" si="9"/>
        <v>0.33333333333333331</v>
      </c>
      <c r="N70" s="11">
        <f t="shared" si="10"/>
        <v>0.66666666666666663</v>
      </c>
      <c r="O70" s="11">
        <f>Table1456[[#This Row],[Total]]/Table1456[[#This Row],[Population]]</f>
        <v>0.84507042253521136</v>
      </c>
      <c r="P70" s="11">
        <f>(Table1456[[#This Row],[Gold]]*3)+(Table1456[[#This Row],[Silver]]*2)+(Table1456[[#This Row],[Bronze]]*1)</f>
        <v>8</v>
      </c>
      <c r="Q70" s="12">
        <f t="shared" si="11"/>
        <v>328.31166666666667</v>
      </c>
      <c r="R70" s="12">
        <f>PRODUCT(Table1456[[#This Row],[GDP]]*Table1456[[#This Row],[Gold]])</f>
        <v>0</v>
      </c>
      <c r="S70" s="9" t="str">
        <f t="shared" si="12"/>
        <v>Low GDP</v>
      </c>
      <c r="T70" s="14" t="str">
        <f t="shared" si="13"/>
        <v>Low performer</v>
      </c>
      <c r="U70" s="8"/>
      <c r="V70" s="8"/>
      <c r="W70" s="8"/>
      <c r="X70" s="8"/>
      <c r="Y70" s="8"/>
      <c r="Z70" s="8"/>
      <c r="AA70" s="8"/>
    </row>
    <row r="71" spans="1:27" x14ac:dyDescent="0.25">
      <c r="A71" s="13" t="s">
        <v>145</v>
      </c>
      <c r="B71" s="1" t="s">
        <v>146</v>
      </c>
      <c r="C71" s="1" t="s">
        <v>13</v>
      </c>
      <c r="D71" s="1">
        <v>0</v>
      </c>
      <c r="E71" s="1">
        <v>2</v>
      </c>
      <c r="F71" s="1">
        <v>2</v>
      </c>
      <c r="G71" s="1">
        <v>4</v>
      </c>
      <c r="H71" s="9" t="str">
        <f t="shared" si="7"/>
        <v>Needs improvement</v>
      </c>
      <c r="I71" s="1">
        <v>27102.78</v>
      </c>
      <c r="J71" s="1">
        <v>2023</v>
      </c>
      <c r="K71" s="1">
        <v>2.9</v>
      </c>
      <c r="L71" s="10">
        <f t="shared" si="8"/>
        <v>0</v>
      </c>
      <c r="M71" s="11">
        <f t="shared" si="9"/>
        <v>0.5</v>
      </c>
      <c r="N71" s="11">
        <f t="shared" si="10"/>
        <v>0.5</v>
      </c>
      <c r="O71" s="11">
        <f>Table1456[[#This Row],[Total]]/Table1456[[#This Row],[Population]]</f>
        <v>1.3793103448275863</v>
      </c>
      <c r="P71" s="11">
        <f>(Table1456[[#This Row],[Gold]]*3)+(Table1456[[#This Row],[Silver]]*2)+(Table1456[[#This Row],[Bronze]]*1)</f>
        <v>6</v>
      </c>
      <c r="Q71" s="12">
        <f t="shared" si="11"/>
        <v>6775.6949999999997</v>
      </c>
      <c r="R71" s="12">
        <f>PRODUCT(Table1456[[#This Row],[GDP]]*Table1456[[#This Row],[Gold]])</f>
        <v>0</v>
      </c>
      <c r="S71" s="9" t="str">
        <f t="shared" si="12"/>
        <v>Low GDP</v>
      </c>
      <c r="T71" s="14" t="str">
        <f t="shared" si="13"/>
        <v>Low performer</v>
      </c>
      <c r="U71" s="8"/>
      <c r="V71" s="8"/>
      <c r="W71" s="8"/>
      <c r="X71" s="8"/>
      <c r="Y71" s="8"/>
      <c r="Z71" s="8"/>
      <c r="AA71" s="8"/>
    </row>
    <row r="72" spans="1:27" x14ac:dyDescent="0.25">
      <c r="A72" s="13" t="s">
        <v>147</v>
      </c>
      <c r="B72" s="1" t="s">
        <v>148</v>
      </c>
      <c r="C72" s="1" t="s">
        <v>5</v>
      </c>
      <c r="D72" s="1">
        <v>0</v>
      </c>
      <c r="E72" s="1">
        <v>1</v>
      </c>
      <c r="F72" s="1">
        <v>5</v>
      </c>
      <c r="G72" s="1">
        <v>6</v>
      </c>
      <c r="H72" s="9" t="str">
        <f t="shared" si="7"/>
        <v>Needs improvement</v>
      </c>
      <c r="I72" s="1">
        <v>2484.85</v>
      </c>
      <c r="J72" s="1">
        <v>2023</v>
      </c>
      <c r="K72" s="1">
        <v>1428.6</v>
      </c>
      <c r="L72" s="10">
        <f t="shared" si="8"/>
        <v>0</v>
      </c>
      <c r="M72" s="11">
        <f t="shared" si="9"/>
        <v>0.16666666666666666</v>
      </c>
      <c r="N72" s="11">
        <f t="shared" si="10"/>
        <v>0.83333333333333337</v>
      </c>
      <c r="O72" s="11">
        <f>Table1456[[#This Row],[Total]]/Table1456[[#This Row],[Population]]</f>
        <v>4.1999160016799666E-3</v>
      </c>
      <c r="P72" s="11">
        <f>(Table1456[[#This Row],[Gold]]*3)+(Table1456[[#This Row],[Silver]]*2)+(Table1456[[#This Row],[Bronze]]*1)</f>
        <v>7</v>
      </c>
      <c r="Q72" s="12">
        <f t="shared" si="11"/>
        <v>414.14166666666665</v>
      </c>
      <c r="R72" s="12">
        <f>PRODUCT(Table1456[[#This Row],[GDP]]*Table1456[[#This Row],[Gold]])</f>
        <v>0</v>
      </c>
      <c r="S72" s="9" t="str">
        <f t="shared" si="12"/>
        <v>Low GDP</v>
      </c>
      <c r="T72" s="14" t="str">
        <f t="shared" si="13"/>
        <v>Low performer</v>
      </c>
      <c r="U72" s="8"/>
      <c r="V72" s="8"/>
      <c r="W72" s="8"/>
      <c r="X72" s="8"/>
      <c r="Y72" s="8"/>
      <c r="Z72" s="8"/>
      <c r="AA72" s="8"/>
    </row>
    <row r="73" spans="1:27" x14ac:dyDescent="0.25">
      <c r="A73" s="13" t="s">
        <v>149</v>
      </c>
      <c r="B73" s="1" t="s">
        <v>150</v>
      </c>
      <c r="C73" s="1" t="s">
        <v>13</v>
      </c>
      <c r="D73" s="1">
        <v>0</v>
      </c>
      <c r="E73" s="1">
        <v>1</v>
      </c>
      <c r="F73" s="1">
        <v>3</v>
      </c>
      <c r="G73" s="1">
        <v>4</v>
      </c>
      <c r="H73" s="9" t="str">
        <f t="shared" si="7"/>
        <v>Needs improvement</v>
      </c>
      <c r="I73" s="1">
        <v>6650.65</v>
      </c>
      <c r="J73" s="1">
        <v>2023</v>
      </c>
      <c r="K73" s="1">
        <v>2.5</v>
      </c>
      <c r="L73" s="10">
        <f t="shared" si="8"/>
        <v>0</v>
      </c>
      <c r="M73" s="11">
        <f t="shared" si="9"/>
        <v>0.25</v>
      </c>
      <c r="N73" s="11">
        <f t="shared" si="10"/>
        <v>0.75</v>
      </c>
      <c r="O73" s="11">
        <f>Table1456[[#This Row],[Total]]/Table1456[[#This Row],[Population]]</f>
        <v>1.6</v>
      </c>
      <c r="P73" s="11">
        <f>(Table1456[[#This Row],[Gold]]*3)+(Table1456[[#This Row],[Silver]]*2)+(Table1456[[#This Row],[Bronze]]*1)</f>
        <v>5</v>
      </c>
      <c r="Q73" s="12">
        <f t="shared" si="11"/>
        <v>1662.6624999999999</v>
      </c>
      <c r="R73" s="12">
        <f>PRODUCT(Table1456[[#This Row],[GDP]]*Table1456[[#This Row],[Gold]])</f>
        <v>0</v>
      </c>
      <c r="S73" s="9" t="str">
        <f t="shared" si="12"/>
        <v>Low GDP</v>
      </c>
      <c r="T73" s="14" t="str">
        <f t="shared" si="13"/>
        <v>Low performer</v>
      </c>
      <c r="U73" s="8"/>
      <c r="V73" s="8"/>
      <c r="W73" s="8"/>
      <c r="X73" s="8"/>
      <c r="Y73" s="8"/>
      <c r="Z73" s="8"/>
      <c r="AA73" s="8"/>
    </row>
    <row r="74" spans="1:27" x14ac:dyDescent="0.25">
      <c r="A74" s="13" t="s">
        <v>151</v>
      </c>
      <c r="B74" s="1" t="s">
        <v>152</v>
      </c>
      <c r="C74" s="1" t="s">
        <v>13</v>
      </c>
      <c r="D74" s="1">
        <v>0</v>
      </c>
      <c r="E74" s="1">
        <v>1</v>
      </c>
      <c r="F74" s="1">
        <v>1</v>
      </c>
      <c r="G74" s="1">
        <v>2</v>
      </c>
      <c r="H74" s="9" t="str">
        <f t="shared" si="7"/>
        <v>Needs improvement</v>
      </c>
      <c r="I74" s="1">
        <v>5943.13</v>
      </c>
      <c r="J74" s="1">
        <v>2023</v>
      </c>
      <c r="K74" s="1">
        <v>1.8</v>
      </c>
      <c r="L74" s="10">
        <f t="shared" si="8"/>
        <v>0</v>
      </c>
      <c r="M74" s="11">
        <f t="shared" si="9"/>
        <v>0.5</v>
      </c>
      <c r="N74" s="11">
        <f t="shared" si="10"/>
        <v>0.5</v>
      </c>
      <c r="O74" s="11">
        <f>Table1456[[#This Row],[Total]]/Table1456[[#This Row],[Population]]</f>
        <v>1.1111111111111112</v>
      </c>
      <c r="P74" s="11">
        <f>(Table1456[[#This Row],[Gold]]*3)+(Table1456[[#This Row],[Silver]]*2)+(Table1456[[#This Row],[Bronze]]*1)</f>
        <v>3</v>
      </c>
      <c r="Q74" s="12">
        <f t="shared" si="11"/>
        <v>2971.5650000000001</v>
      </c>
      <c r="R74" s="12">
        <f>PRODUCT(Table1456[[#This Row],[GDP]]*Table1456[[#This Row],[Gold]])</f>
        <v>0</v>
      </c>
      <c r="S74" s="9" t="str">
        <f t="shared" si="12"/>
        <v>Low GDP</v>
      </c>
      <c r="T74" s="14" t="str">
        <f t="shared" si="13"/>
        <v>Low performer</v>
      </c>
      <c r="U74" s="8"/>
      <c r="V74" s="8"/>
      <c r="W74" s="8"/>
      <c r="X74" s="8"/>
      <c r="Y74" s="8"/>
      <c r="Z74" s="8"/>
      <c r="AA74" s="8"/>
    </row>
    <row r="75" spans="1:27" x14ac:dyDescent="0.25">
      <c r="A75" s="13" t="s">
        <v>153</v>
      </c>
      <c r="B75" s="1" t="s">
        <v>154</v>
      </c>
      <c r="C75" s="1" t="s">
        <v>13</v>
      </c>
      <c r="D75" s="1">
        <v>0</v>
      </c>
      <c r="E75" s="1">
        <v>1</v>
      </c>
      <c r="F75" s="1">
        <v>0</v>
      </c>
      <c r="G75" s="1">
        <v>1</v>
      </c>
      <c r="H75" s="9" t="str">
        <f t="shared" si="7"/>
        <v>Needs improvement</v>
      </c>
      <c r="I75" s="1">
        <v>34701.440000000002</v>
      </c>
      <c r="J75" s="1">
        <v>2023</v>
      </c>
      <c r="K75" s="1">
        <v>1.3</v>
      </c>
      <c r="L75" s="10">
        <f t="shared" si="8"/>
        <v>0</v>
      </c>
      <c r="M75" s="11">
        <f t="shared" si="9"/>
        <v>1</v>
      </c>
      <c r="N75" s="11">
        <f t="shared" si="10"/>
        <v>0</v>
      </c>
      <c r="O75" s="11">
        <f>Table1456[[#This Row],[Total]]/Table1456[[#This Row],[Population]]</f>
        <v>0.76923076923076916</v>
      </c>
      <c r="P75" s="11">
        <f>(Table1456[[#This Row],[Gold]]*3)+(Table1456[[#This Row],[Silver]]*2)+(Table1456[[#This Row],[Bronze]]*1)</f>
        <v>2</v>
      </c>
      <c r="Q75" s="12">
        <f t="shared" si="11"/>
        <v>34701.440000000002</v>
      </c>
      <c r="R75" s="12">
        <f>PRODUCT(Table1456[[#This Row],[GDP]]*Table1456[[#This Row],[Gold]])</f>
        <v>0</v>
      </c>
      <c r="S75" s="9" t="str">
        <f t="shared" si="12"/>
        <v>Low GDP</v>
      </c>
      <c r="T75" s="14" t="str">
        <f t="shared" si="13"/>
        <v>Low performer</v>
      </c>
      <c r="U75" s="8"/>
      <c r="V75" s="8"/>
      <c r="W75" s="8"/>
      <c r="X75" s="8"/>
      <c r="Y75" s="8"/>
      <c r="Z75" s="8"/>
      <c r="AA75" s="8"/>
    </row>
    <row r="76" spans="1:27" x14ac:dyDescent="0.25">
      <c r="A76" s="13" t="s">
        <v>155</v>
      </c>
      <c r="B76" s="1" t="s">
        <v>156</v>
      </c>
      <c r="C76" s="1" t="s">
        <v>10</v>
      </c>
      <c r="D76" s="1">
        <v>0</v>
      </c>
      <c r="E76" s="1">
        <v>1</v>
      </c>
      <c r="F76" s="1">
        <v>0</v>
      </c>
      <c r="G76" s="1">
        <v>1</v>
      </c>
      <c r="H76" s="9" t="str">
        <f t="shared" si="7"/>
        <v>Needs improvement</v>
      </c>
      <c r="I76" s="1">
        <v>5868.16</v>
      </c>
      <c r="J76" s="1">
        <v>2023</v>
      </c>
      <c r="K76" s="1">
        <v>0.9</v>
      </c>
      <c r="L76" s="10">
        <f t="shared" si="8"/>
        <v>0</v>
      </c>
      <c r="M76" s="11">
        <f t="shared" si="9"/>
        <v>1</v>
      </c>
      <c r="N76" s="11">
        <f t="shared" si="10"/>
        <v>0</v>
      </c>
      <c r="O76" s="11">
        <f>Table1456[[#This Row],[Total]]/Table1456[[#This Row],[Population]]</f>
        <v>1.1111111111111112</v>
      </c>
      <c r="P76" s="11">
        <f>(Table1456[[#This Row],[Gold]]*3)+(Table1456[[#This Row],[Silver]]*2)+(Table1456[[#This Row],[Bronze]]*1)</f>
        <v>2</v>
      </c>
      <c r="Q76" s="12">
        <f t="shared" si="11"/>
        <v>5868.16</v>
      </c>
      <c r="R76" s="12">
        <f>PRODUCT(Table1456[[#This Row],[GDP]]*Table1456[[#This Row],[Gold]])</f>
        <v>0</v>
      </c>
      <c r="S76" s="9" t="str">
        <f t="shared" si="12"/>
        <v>Low GDP</v>
      </c>
      <c r="T76" s="14" t="str">
        <f t="shared" si="13"/>
        <v>Low performer</v>
      </c>
      <c r="U76" s="8"/>
      <c r="V76" s="8"/>
      <c r="W76" s="8"/>
      <c r="X76" s="8"/>
      <c r="Y76" s="8"/>
      <c r="Z76" s="8"/>
      <c r="AA76" s="8"/>
    </row>
    <row r="77" spans="1:27" x14ac:dyDescent="0.25">
      <c r="A77" s="13" t="s">
        <v>157</v>
      </c>
      <c r="B77" s="1" t="s">
        <v>158</v>
      </c>
      <c r="C77" s="1" t="s">
        <v>5</v>
      </c>
      <c r="D77" s="1">
        <v>0</v>
      </c>
      <c r="E77" s="1">
        <v>1</v>
      </c>
      <c r="F77" s="1">
        <v>0</v>
      </c>
      <c r="G77" s="1">
        <v>1</v>
      </c>
      <c r="H77" s="9" t="str">
        <f t="shared" si="7"/>
        <v>Needs improvement</v>
      </c>
      <c r="I77" s="1">
        <v>4482.09</v>
      </c>
      <c r="J77" s="1">
        <v>2023</v>
      </c>
      <c r="K77" s="1">
        <v>11.3</v>
      </c>
      <c r="L77" s="10">
        <f t="shared" si="8"/>
        <v>0</v>
      </c>
      <c r="M77" s="11">
        <f t="shared" si="9"/>
        <v>1</v>
      </c>
      <c r="N77" s="11">
        <f t="shared" si="10"/>
        <v>0</v>
      </c>
      <c r="O77" s="11">
        <f>Table1456[[#This Row],[Total]]/Table1456[[#This Row],[Population]]</f>
        <v>8.8495575221238937E-2</v>
      </c>
      <c r="P77" s="11">
        <f>(Table1456[[#This Row],[Gold]]*3)+(Table1456[[#This Row],[Silver]]*2)+(Table1456[[#This Row],[Bronze]]*1)</f>
        <v>2</v>
      </c>
      <c r="Q77" s="12">
        <f t="shared" si="11"/>
        <v>4482.09</v>
      </c>
      <c r="R77" s="12">
        <f>PRODUCT(Table1456[[#This Row],[GDP]]*Table1456[[#This Row],[Gold]])</f>
        <v>0</v>
      </c>
      <c r="S77" s="9" t="str">
        <f t="shared" si="12"/>
        <v>Low GDP</v>
      </c>
      <c r="T77" s="14" t="str">
        <f t="shared" si="13"/>
        <v>Low performer</v>
      </c>
      <c r="U77" s="8"/>
      <c r="V77" s="8"/>
      <c r="W77" s="8"/>
      <c r="X77" s="8"/>
      <c r="Y77" s="8"/>
      <c r="Z77" s="8"/>
      <c r="AA77" s="8"/>
    </row>
    <row r="78" spans="1:27" x14ac:dyDescent="0.25">
      <c r="A78" s="13" t="s">
        <v>159</v>
      </c>
      <c r="B78" s="1" t="s">
        <v>160</v>
      </c>
      <c r="C78" s="1" t="s">
        <v>5</v>
      </c>
      <c r="D78" s="1">
        <v>0</v>
      </c>
      <c r="E78" s="1">
        <v>1</v>
      </c>
      <c r="F78" s="1">
        <v>0</v>
      </c>
      <c r="G78" s="1">
        <v>1</v>
      </c>
      <c r="H78" s="9" t="str">
        <f t="shared" si="7"/>
        <v>Needs improvement</v>
      </c>
      <c r="I78" s="1">
        <v>5764.8</v>
      </c>
      <c r="J78" s="1">
        <v>2023</v>
      </c>
      <c r="K78" s="1">
        <v>3.4</v>
      </c>
      <c r="L78" s="10">
        <f t="shared" si="8"/>
        <v>0</v>
      </c>
      <c r="M78" s="11">
        <f t="shared" si="9"/>
        <v>1</v>
      </c>
      <c r="N78" s="11">
        <f t="shared" si="10"/>
        <v>0</v>
      </c>
      <c r="O78" s="11">
        <f>Table1456[[#This Row],[Total]]/Table1456[[#This Row],[Population]]</f>
        <v>0.29411764705882354</v>
      </c>
      <c r="P78" s="11">
        <f>(Table1456[[#This Row],[Gold]]*3)+(Table1456[[#This Row],[Silver]]*2)+(Table1456[[#This Row],[Bronze]]*1)</f>
        <v>2</v>
      </c>
      <c r="Q78" s="12">
        <f t="shared" si="11"/>
        <v>5764.8</v>
      </c>
      <c r="R78" s="12">
        <f>PRODUCT(Table1456[[#This Row],[GDP]]*Table1456[[#This Row],[Gold]])</f>
        <v>0</v>
      </c>
      <c r="S78" s="9" t="str">
        <f t="shared" si="12"/>
        <v>Low GDP</v>
      </c>
      <c r="T78" s="14" t="str">
        <f t="shared" si="13"/>
        <v>Low performer</v>
      </c>
      <c r="U78" s="8"/>
      <c r="V78" s="8"/>
      <c r="W78" s="8"/>
      <c r="X78" s="8"/>
      <c r="Y78" s="8"/>
      <c r="Z78" s="8"/>
      <c r="AA78" s="8"/>
    </row>
    <row r="79" spans="1:27" x14ac:dyDescent="0.25">
      <c r="A79" s="13" t="s">
        <v>161</v>
      </c>
      <c r="B79" s="1" t="s">
        <v>162</v>
      </c>
      <c r="C79" s="1" t="s">
        <v>45</v>
      </c>
      <c r="D79" s="1">
        <v>0</v>
      </c>
      <c r="E79" s="1">
        <v>1</v>
      </c>
      <c r="F79" s="1">
        <v>0</v>
      </c>
      <c r="G79" s="1">
        <v>1</v>
      </c>
      <c r="H79" s="9" t="str">
        <f t="shared" si="7"/>
        <v>Needs improvement</v>
      </c>
      <c r="I79" s="1">
        <v>18661.77</v>
      </c>
      <c r="J79" s="1">
        <v>2023</v>
      </c>
      <c r="K79" s="1">
        <v>4.5</v>
      </c>
      <c r="L79" s="10">
        <f t="shared" si="8"/>
        <v>0</v>
      </c>
      <c r="M79" s="11">
        <f t="shared" si="9"/>
        <v>1</v>
      </c>
      <c r="N79" s="11">
        <f t="shared" si="10"/>
        <v>0</v>
      </c>
      <c r="O79" s="11">
        <f>Table1456[[#This Row],[Total]]/Table1456[[#This Row],[Population]]</f>
        <v>0.22222222222222221</v>
      </c>
      <c r="P79" s="11">
        <f>(Table1456[[#This Row],[Gold]]*3)+(Table1456[[#This Row],[Silver]]*2)+(Table1456[[#This Row],[Bronze]]*1)</f>
        <v>2</v>
      </c>
      <c r="Q79" s="12">
        <f t="shared" si="11"/>
        <v>18661.77</v>
      </c>
      <c r="R79" s="12">
        <f>PRODUCT(Table1456[[#This Row],[GDP]]*Table1456[[#This Row],[Gold]])</f>
        <v>0</v>
      </c>
      <c r="S79" s="9" t="str">
        <f t="shared" si="12"/>
        <v>Low GDP</v>
      </c>
      <c r="T79" s="14" t="str">
        <f t="shared" si="13"/>
        <v>Low performer</v>
      </c>
      <c r="U79" s="8"/>
      <c r="V79" s="8"/>
      <c r="W79" s="8"/>
      <c r="X79" s="8"/>
      <c r="Y79" s="8"/>
      <c r="Z79" s="8"/>
      <c r="AA79" s="8"/>
    </row>
    <row r="80" spans="1:27" x14ac:dyDescent="0.25">
      <c r="A80" s="13" t="s">
        <v>163</v>
      </c>
      <c r="B80" s="1" t="s">
        <v>164</v>
      </c>
      <c r="C80" s="1" t="s">
        <v>5</v>
      </c>
      <c r="D80" s="1">
        <v>0</v>
      </c>
      <c r="E80" s="1">
        <v>0</v>
      </c>
      <c r="F80" s="1">
        <v>3</v>
      </c>
      <c r="G80" s="1">
        <v>3</v>
      </c>
      <c r="H80" s="9" t="str">
        <f t="shared" si="7"/>
        <v>Needs improvement</v>
      </c>
      <c r="I80" s="1">
        <v>1188.99</v>
      </c>
      <c r="J80" s="1">
        <v>2023</v>
      </c>
      <c r="K80" s="1">
        <v>10.1</v>
      </c>
      <c r="L80" s="10">
        <f t="shared" si="8"/>
        <v>0</v>
      </c>
      <c r="M80" s="11">
        <f t="shared" si="9"/>
        <v>0</v>
      </c>
      <c r="N80" s="11">
        <f t="shared" si="10"/>
        <v>1</v>
      </c>
      <c r="O80" s="11">
        <f>Table1456[[#This Row],[Total]]/Table1456[[#This Row],[Population]]</f>
        <v>0.29702970297029702</v>
      </c>
      <c r="P80" s="11">
        <f>(Table1456[[#This Row],[Gold]]*3)+(Table1456[[#This Row],[Silver]]*2)+(Table1456[[#This Row],[Bronze]]*1)</f>
        <v>3</v>
      </c>
      <c r="Q80" s="12">
        <f t="shared" si="11"/>
        <v>396.33</v>
      </c>
      <c r="R80" s="12">
        <f>PRODUCT(Table1456[[#This Row],[GDP]]*Table1456[[#This Row],[Gold]])</f>
        <v>0</v>
      </c>
      <c r="S80" s="9" t="str">
        <f t="shared" si="12"/>
        <v>Low GDP</v>
      </c>
      <c r="T80" s="14" t="str">
        <f t="shared" si="13"/>
        <v>Low performer</v>
      </c>
      <c r="U80" s="8"/>
      <c r="V80" s="8"/>
      <c r="W80" s="8"/>
      <c r="X80" s="8"/>
      <c r="Y80" s="8"/>
      <c r="Z80" s="8"/>
      <c r="AA80" s="8"/>
    </row>
    <row r="81" spans="1:27" x14ac:dyDescent="0.25">
      <c r="A81" s="13" t="s">
        <v>165</v>
      </c>
      <c r="B81" s="1" t="s">
        <v>166</v>
      </c>
      <c r="C81" s="1" t="s">
        <v>13</v>
      </c>
      <c r="D81" s="1">
        <v>0</v>
      </c>
      <c r="E81" s="1">
        <v>0</v>
      </c>
      <c r="F81" s="1">
        <v>2</v>
      </c>
      <c r="G81" s="1">
        <v>2</v>
      </c>
      <c r="H81" s="9" t="str">
        <f t="shared" si="7"/>
        <v>Needs improvement</v>
      </c>
      <c r="I81" s="1">
        <v>8367.7800000000007</v>
      </c>
      <c r="J81" s="1">
        <v>2023</v>
      </c>
      <c r="K81" s="1">
        <v>2.7</v>
      </c>
      <c r="L81" s="10">
        <f t="shared" si="8"/>
        <v>0</v>
      </c>
      <c r="M81" s="11">
        <f t="shared" si="9"/>
        <v>0</v>
      </c>
      <c r="N81" s="11">
        <f t="shared" si="10"/>
        <v>1</v>
      </c>
      <c r="O81" s="11">
        <f>Table1456[[#This Row],[Total]]/Table1456[[#This Row],[Population]]</f>
        <v>0.7407407407407407</v>
      </c>
      <c r="P81" s="11">
        <f>(Table1456[[#This Row],[Gold]]*3)+(Table1456[[#This Row],[Silver]]*2)+(Table1456[[#This Row],[Bronze]]*1)</f>
        <v>2</v>
      </c>
      <c r="Q81" s="12">
        <f t="shared" si="11"/>
        <v>4183.8900000000003</v>
      </c>
      <c r="R81" s="12">
        <f>PRODUCT(Table1456[[#This Row],[GDP]]*Table1456[[#This Row],[Gold]])</f>
        <v>0</v>
      </c>
      <c r="S81" s="9" t="str">
        <f t="shared" si="12"/>
        <v>Low GDP</v>
      </c>
      <c r="T81" s="14" t="str">
        <f t="shared" si="13"/>
        <v>Low performer</v>
      </c>
      <c r="U81" s="8"/>
      <c r="V81" s="8"/>
      <c r="W81" s="8"/>
      <c r="X81" s="8"/>
      <c r="Y81" s="8"/>
      <c r="Z81" s="8"/>
      <c r="AA81" s="8"/>
    </row>
    <row r="82" spans="1:27" x14ac:dyDescent="0.25">
      <c r="A82" s="13" t="s">
        <v>167</v>
      </c>
      <c r="B82" s="1" t="s">
        <v>168</v>
      </c>
      <c r="C82" s="1" t="s">
        <v>120</v>
      </c>
      <c r="D82" s="1">
        <v>0</v>
      </c>
      <c r="E82" s="1">
        <v>0</v>
      </c>
      <c r="F82" s="1">
        <v>2</v>
      </c>
      <c r="G82" s="1">
        <v>2</v>
      </c>
      <c r="H82" s="9" t="str">
        <f t="shared" si="7"/>
        <v>Needs improvement</v>
      </c>
      <c r="I82" s="1">
        <v>10463.65</v>
      </c>
      <c r="J82" s="1">
        <v>2023</v>
      </c>
      <c r="K82" s="1">
        <v>0.1</v>
      </c>
      <c r="L82" s="10">
        <f t="shared" si="8"/>
        <v>0</v>
      </c>
      <c r="M82" s="11">
        <f t="shared" si="9"/>
        <v>0</v>
      </c>
      <c r="N82" s="11">
        <f t="shared" si="10"/>
        <v>1</v>
      </c>
      <c r="O82" s="11">
        <f>Table1456[[#This Row],[Total]]/Table1456[[#This Row],[Population]]</f>
        <v>20</v>
      </c>
      <c r="P82" s="11">
        <f>(Table1456[[#This Row],[Gold]]*3)+(Table1456[[#This Row],[Silver]]*2)+(Table1456[[#This Row],[Bronze]]*1)</f>
        <v>2</v>
      </c>
      <c r="Q82" s="12">
        <f t="shared" si="11"/>
        <v>5231.8249999999998</v>
      </c>
      <c r="R82" s="12">
        <f>PRODUCT(Table1456[[#This Row],[GDP]]*Table1456[[#This Row],[Gold]])</f>
        <v>0</v>
      </c>
      <c r="S82" s="9" t="str">
        <f t="shared" si="12"/>
        <v>Low GDP</v>
      </c>
      <c r="T82" s="14" t="str">
        <f t="shared" si="13"/>
        <v>Low performer</v>
      </c>
      <c r="U82" s="8"/>
      <c r="V82" s="8"/>
      <c r="W82" s="8"/>
      <c r="X82" s="8"/>
      <c r="Y82" s="8"/>
      <c r="Z82" s="8"/>
      <c r="AA82" s="8"/>
    </row>
    <row r="83" spans="1:27" x14ac:dyDescent="0.25">
      <c r="A83" s="13" t="s">
        <v>169</v>
      </c>
      <c r="B83" s="1" t="s">
        <v>170</v>
      </c>
      <c r="C83" s="1" t="s">
        <v>5</v>
      </c>
      <c r="D83" s="1">
        <v>0</v>
      </c>
      <c r="E83" s="1">
        <v>0</v>
      </c>
      <c r="F83" s="1">
        <v>2</v>
      </c>
      <c r="G83" s="1">
        <v>2</v>
      </c>
      <c r="H83" s="9" t="str">
        <f t="shared" si="7"/>
        <v>Needs improvement</v>
      </c>
      <c r="I83" s="1">
        <v>11648.67</v>
      </c>
      <c r="J83" s="1">
        <v>2023</v>
      </c>
      <c r="K83" s="1">
        <v>34.299999999999997</v>
      </c>
      <c r="L83" s="10">
        <f t="shared" si="8"/>
        <v>0</v>
      </c>
      <c r="M83" s="11">
        <f t="shared" si="9"/>
        <v>0</v>
      </c>
      <c r="N83" s="11">
        <f t="shared" si="10"/>
        <v>1</v>
      </c>
      <c r="O83" s="11">
        <f>Table1456[[#This Row],[Total]]/Table1456[[#This Row],[Population]]</f>
        <v>5.830903790087464E-2</v>
      </c>
      <c r="P83" s="11">
        <f>(Table1456[[#This Row],[Gold]]*3)+(Table1456[[#This Row],[Silver]]*2)+(Table1456[[#This Row],[Bronze]]*1)</f>
        <v>2</v>
      </c>
      <c r="Q83" s="12">
        <f t="shared" si="11"/>
        <v>5824.335</v>
      </c>
      <c r="R83" s="12">
        <f>PRODUCT(Table1456[[#This Row],[GDP]]*Table1456[[#This Row],[Gold]])</f>
        <v>0</v>
      </c>
      <c r="S83" s="9" t="str">
        <f t="shared" si="12"/>
        <v>Low GDP</v>
      </c>
      <c r="T83" s="14" t="str">
        <f t="shared" si="13"/>
        <v>Low performer</v>
      </c>
      <c r="U83" s="8"/>
      <c r="V83" s="8"/>
      <c r="W83" s="8"/>
      <c r="X83" s="8"/>
      <c r="Y83" s="8"/>
      <c r="Z83" s="8"/>
      <c r="AA83" s="8"/>
    </row>
    <row r="84" spans="1:27" x14ac:dyDescent="0.25">
      <c r="A84" s="13" t="s">
        <v>171</v>
      </c>
      <c r="B84" s="1" t="s">
        <v>172</v>
      </c>
      <c r="C84" s="1" t="s">
        <v>120</v>
      </c>
      <c r="D84" s="1">
        <v>0</v>
      </c>
      <c r="E84" s="1">
        <v>0</v>
      </c>
      <c r="F84" s="1">
        <v>2</v>
      </c>
      <c r="G84" s="1">
        <v>2</v>
      </c>
      <c r="H84" s="9" t="str">
        <f t="shared" si="7"/>
        <v>Needs improvement</v>
      </c>
      <c r="I84" s="1">
        <v>36779.06</v>
      </c>
      <c r="J84" s="1">
        <v>2023</v>
      </c>
      <c r="K84" s="1">
        <v>3.2</v>
      </c>
      <c r="L84" s="10">
        <f t="shared" si="8"/>
        <v>0</v>
      </c>
      <c r="M84" s="11">
        <f t="shared" si="9"/>
        <v>0</v>
      </c>
      <c r="N84" s="11">
        <f t="shared" si="10"/>
        <v>1</v>
      </c>
      <c r="O84" s="11">
        <f>Table1456[[#This Row],[Total]]/Table1456[[#This Row],[Population]]</f>
        <v>0.625</v>
      </c>
      <c r="P84" s="11">
        <f>(Table1456[[#This Row],[Gold]]*3)+(Table1456[[#This Row],[Silver]]*2)+(Table1456[[#This Row],[Bronze]]*1)</f>
        <v>2</v>
      </c>
      <c r="Q84" s="12">
        <f t="shared" si="11"/>
        <v>18389.53</v>
      </c>
      <c r="R84" s="12">
        <f>PRODUCT(Table1456[[#This Row],[GDP]]*Table1456[[#This Row],[Gold]])</f>
        <v>0</v>
      </c>
      <c r="S84" s="9" t="str">
        <f t="shared" si="12"/>
        <v>Low GDP</v>
      </c>
      <c r="T84" s="14" t="str">
        <f t="shared" si="13"/>
        <v>Low performer</v>
      </c>
      <c r="U84" s="8"/>
      <c r="V84" s="8"/>
      <c r="W84" s="8"/>
      <c r="X84" s="8"/>
      <c r="Y84" s="8"/>
      <c r="Z84" s="8"/>
      <c r="AA84" s="8"/>
    </row>
    <row r="85" spans="1:27" x14ac:dyDescent="0.25">
      <c r="A85" s="13" t="s">
        <v>173</v>
      </c>
      <c r="B85" s="1" t="s">
        <v>174</v>
      </c>
      <c r="C85" s="1" t="s">
        <v>38</v>
      </c>
      <c r="D85" s="1">
        <v>0</v>
      </c>
      <c r="E85" s="1">
        <v>0</v>
      </c>
      <c r="F85" s="1">
        <v>1</v>
      </c>
      <c r="G85" s="1">
        <v>1</v>
      </c>
      <c r="H85" s="9" t="str">
        <f t="shared" si="7"/>
        <v>Needs improvement</v>
      </c>
      <c r="I85" s="1">
        <v>4321.58</v>
      </c>
      <c r="J85" s="1">
        <v>2023</v>
      </c>
      <c r="K85" s="1">
        <v>0.6</v>
      </c>
      <c r="L85" s="10">
        <f t="shared" si="8"/>
        <v>0</v>
      </c>
      <c r="M85" s="11">
        <f t="shared" si="9"/>
        <v>0</v>
      </c>
      <c r="N85" s="11">
        <f t="shared" si="10"/>
        <v>1</v>
      </c>
      <c r="O85" s="11">
        <f>Table1456[[#This Row],[Total]]/Table1456[[#This Row],[Population]]</f>
        <v>1.6666666666666667</v>
      </c>
      <c r="P85" s="11">
        <f>(Table1456[[#This Row],[Gold]]*3)+(Table1456[[#This Row],[Silver]]*2)+(Table1456[[#This Row],[Bronze]]*1)</f>
        <v>1</v>
      </c>
      <c r="Q85" s="12">
        <f t="shared" si="11"/>
        <v>4321.58</v>
      </c>
      <c r="R85" s="12">
        <f>PRODUCT(Table1456[[#This Row],[GDP]]*Table1456[[#This Row],[Gold]])</f>
        <v>0</v>
      </c>
      <c r="S85" s="9" t="str">
        <f t="shared" si="12"/>
        <v>Low GDP</v>
      </c>
      <c r="T85" s="14" t="str">
        <f t="shared" si="13"/>
        <v>Low performer</v>
      </c>
      <c r="U85" s="8"/>
      <c r="V85" s="8"/>
      <c r="W85" s="8"/>
      <c r="X85" s="8"/>
      <c r="Y85" s="8"/>
      <c r="Z85" s="8"/>
      <c r="AA85" s="8"/>
    </row>
    <row r="86" spans="1:27" x14ac:dyDescent="0.25">
      <c r="A86" s="13" t="s">
        <v>175</v>
      </c>
      <c r="B86" s="1" t="s">
        <v>176</v>
      </c>
      <c r="C86" s="1" t="s">
        <v>38</v>
      </c>
      <c r="D86" s="1">
        <v>0</v>
      </c>
      <c r="E86" s="1">
        <v>0</v>
      </c>
      <c r="F86" s="1">
        <v>1</v>
      </c>
      <c r="G86" s="1">
        <v>1</v>
      </c>
      <c r="H86" s="9" t="str">
        <f t="shared" si="7"/>
        <v>Needs improvement</v>
      </c>
      <c r="I86" s="1">
        <v>2728.8</v>
      </c>
      <c r="J86" s="1">
        <v>2023</v>
      </c>
      <c r="K86" s="1">
        <v>28.9</v>
      </c>
      <c r="L86" s="10">
        <f t="shared" si="8"/>
        <v>0</v>
      </c>
      <c r="M86" s="11">
        <f t="shared" si="9"/>
        <v>0</v>
      </c>
      <c r="N86" s="11">
        <f t="shared" si="10"/>
        <v>1</v>
      </c>
      <c r="O86" s="11">
        <f>Table1456[[#This Row],[Total]]/Table1456[[#This Row],[Population]]</f>
        <v>3.4602076124567477E-2</v>
      </c>
      <c r="P86" s="11">
        <f>(Table1456[[#This Row],[Gold]]*3)+(Table1456[[#This Row],[Silver]]*2)+(Table1456[[#This Row],[Bronze]]*1)</f>
        <v>1</v>
      </c>
      <c r="Q86" s="12">
        <f t="shared" si="11"/>
        <v>2728.8</v>
      </c>
      <c r="R86" s="12">
        <f>PRODUCT(Table1456[[#This Row],[GDP]]*Table1456[[#This Row],[Gold]])</f>
        <v>0</v>
      </c>
      <c r="S86" s="9" t="str">
        <f t="shared" si="12"/>
        <v>Low GDP</v>
      </c>
      <c r="T86" s="14" t="str">
        <f t="shared" si="13"/>
        <v>Low performer</v>
      </c>
      <c r="U86" s="8"/>
      <c r="V86" s="8"/>
      <c r="W86" s="8"/>
      <c r="X86" s="8"/>
      <c r="Y86" s="8"/>
      <c r="Z86" s="8"/>
      <c r="AA86" s="8"/>
    </row>
    <row r="87" spans="1:27" x14ac:dyDescent="0.25">
      <c r="A87" s="13" t="s">
        <v>177</v>
      </c>
      <c r="B87" s="1" t="s">
        <v>178</v>
      </c>
      <c r="C87" s="1" t="s">
        <v>45</v>
      </c>
      <c r="D87" s="1">
        <v>0</v>
      </c>
      <c r="E87" s="1">
        <v>0</v>
      </c>
      <c r="F87" s="1">
        <v>1</v>
      </c>
      <c r="G87" s="1">
        <v>1</v>
      </c>
      <c r="H87" s="9" t="str">
        <f t="shared" si="7"/>
        <v>Needs improvement</v>
      </c>
      <c r="I87" s="1">
        <v>7789.87</v>
      </c>
      <c r="J87" s="1">
        <v>2023</v>
      </c>
      <c r="K87" s="1">
        <v>34.4</v>
      </c>
      <c r="L87" s="10">
        <f t="shared" si="8"/>
        <v>0</v>
      </c>
      <c r="M87" s="11">
        <f t="shared" si="9"/>
        <v>0</v>
      </c>
      <c r="N87" s="11">
        <f t="shared" si="10"/>
        <v>1</v>
      </c>
      <c r="O87" s="11">
        <f>Table1456[[#This Row],[Total]]/Table1456[[#This Row],[Population]]</f>
        <v>2.9069767441860465E-2</v>
      </c>
      <c r="P87" s="11">
        <f>(Table1456[[#This Row],[Gold]]*3)+(Table1456[[#This Row],[Silver]]*2)+(Table1456[[#This Row],[Bronze]]*1)</f>
        <v>1</v>
      </c>
      <c r="Q87" s="12">
        <f t="shared" si="11"/>
        <v>7789.87</v>
      </c>
      <c r="R87" s="12">
        <f>PRODUCT(Table1456[[#This Row],[GDP]]*Table1456[[#This Row],[Gold]])</f>
        <v>0</v>
      </c>
      <c r="S87" s="9" t="str">
        <f t="shared" si="12"/>
        <v>Low GDP</v>
      </c>
      <c r="T87" s="14" t="str">
        <f t="shared" si="13"/>
        <v>Low performer</v>
      </c>
      <c r="U87" s="8"/>
      <c r="V87" s="8"/>
      <c r="W87" s="8"/>
      <c r="X87" s="8"/>
      <c r="Y87" s="8"/>
      <c r="Z87" s="8"/>
      <c r="AA87" s="8"/>
    </row>
    <row r="88" spans="1:27" x14ac:dyDescent="0.25">
      <c r="A88" s="13" t="s">
        <v>179</v>
      </c>
      <c r="B88" s="1" t="s">
        <v>180</v>
      </c>
      <c r="C88" s="1" t="s">
        <v>5</v>
      </c>
      <c r="D88" s="1">
        <v>0</v>
      </c>
      <c r="E88" s="1">
        <v>0</v>
      </c>
      <c r="F88" s="1">
        <v>1</v>
      </c>
      <c r="G88" s="1">
        <v>1</v>
      </c>
      <c r="H88" s="9" t="str">
        <f t="shared" si="7"/>
        <v>Needs improvement</v>
      </c>
      <c r="I88" s="1">
        <v>87480.42</v>
      </c>
      <c r="J88" s="1">
        <v>2022</v>
      </c>
      <c r="K88" s="1">
        <v>2.7</v>
      </c>
      <c r="L88" s="10">
        <f t="shared" si="8"/>
        <v>0</v>
      </c>
      <c r="M88" s="11">
        <f t="shared" si="9"/>
        <v>0</v>
      </c>
      <c r="N88" s="11">
        <f t="shared" si="10"/>
        <v>1</v>
      </c>
      <c r="O88" s="11">
        <f>Table1456[[#This Row],[Total]]/Table1456[[#This Row],[Population]]</f>
        <v>0.37037037037037035</v>
      </c>
      <c r="P88" s="11">
        <f>(Table1456[[#This Row],[Gold]]*3)+(Table1456[[#This Row],[Silver]]*2)+(Table1456[[#This Row],[Bronze]]*1)</f>
        <v>1</v>
      </c>
      <c r="Q88" s="12">
        <f t="shared" si="11"/>
        <v>87480.42</v>
      </c>
      <c r="R88" s="12">
        <f>PRODUCT(Table1456[[#This Row],[GDP]]*Table1456[[#This Row],[Gold]])</f>
        <v>0</v>
      </c>
      <c r="S88" s="9" t="str">
        <f t="shared" si="12"/>
        <v>High GDP</v>
      </c>
      <c r="T88" s="14" t="str">
        <f t="shared" si="13"/>
        <v>Low performer</v>
      </c>
      <c r="U88" s="8"/>
      <c r="V88" s="8"/>
      <c r="W88" s="8"/>
      <c r="X88" s="8"/>
      <c r="Y88" s="8"/>
      <c r="Z88" s="8"/>
      <c r="AA88" s="8"/>
    </row>
    <row r="89" spans="1:27" x14ac:dyDescent="0.25">
      <c r="A89" s="13" t="s">
        <v>181</v>
      </c>
      <c r="B89" s="1" t="s">
        <v>182</v>
      </c>
      <c r="C89" s="1" t="s">
        <v>5</v>
      </c>
      <c r="D89" s="1">
        <v>0</v>
      </c>
      <c r="E89" s="1">
        <v>0</v>
      </c>
      <c r="F89" s="1">
        <v>1</v>
      </c>
      <c r="G89" s="1">
        <v>1</v>
      </c>
      <c r="H89" s="9" t="str">
        <f t="shared" si="7"/>
        <v>Needs improvement</v>
      </c>
      <c r="I89" s="1">
        <v>84734.26</v>
      </c>
      <c r="J89" s="1">
        <v>2023</v>
      </c>
      <c r="K89" s="1">
        <v>5.9</v>
      </c>
      <c r="L89" s="10">
        <f t="shared" si="8"/>
        <v>0</v>
      </c>
      <c r="M89" s="11">
        <f t="shared" si="9"/>
        <v>0</v>
      </c>
      <c r="N89" s="11">
        <f t="shared" si="10"/>
        <v>1</v>
      </c>
      <c r="O89" s="11">
        <f>Table1456[[#This Row],[Total]]/Table1456[[#This Row],[Population]]</f>
        <v>0.16949152542372881</v>
      </c>
      <c r="P89" s="11">
        <f>(Table1456[[#This Row],[Gold]]*3)+(Table1456[[#This Row],[Silver]]*2)+(Table1456[[#This Row],[Bronze]]*1)</f>
        <v>1</v>
      </c>
      <c r="Q89" s="12">
        <f t="shared" si="11"/>
        <v>84734.26</v>
      </c>
      <c r="R89" s="12">
        <f>PRODUCT(Table1456[[#This Row],[GDP]]*Table1456[[#This Row],[Gold]])</f>
        <v>0</v>
      </c>
      <c r="S89" s="9" t="str">
        <f t="shared" si="12"/>
        <v>High GDP</v>
      </c>
      <c r="T89" s="14" t="str">
        <f t="shared" si="13"/>
        <v>Low performer</v>
      </c>
      <c r="U89" s="8"/>
      <c r="V89" s="8"/>
      <c r="W89" s="8"/>
      <c r="X89" s="8"/>
      <c r="Y89" s="8"/>
      <c r="Z89" s="8"/>
      <c r="AA89" s="8"/>
    </row>
    <row r="90" spans="1:27" x14ac:dyDescent="0.25">
      <c r="A90" s="13" t="s">
        <v>183</v>
      </c>
      <c r="B90" s="1" t="s">
        <v>184</v>
      </c>
      <c r="C90" s="1" t="s">
        <v>13</v>
      </c>
      <c r="D90" s="1">
        <v>0</v>
      </c>
      <c r="E90" s="1">
        <v>0</v>
      </c>
      <c r="F90" s="1">
        <v>1</v>
      </c>
      <c r="G90" s="1">
        <v>1</v>
      </c>
      <c r="H90" s="9" t="str">
        <f t="shared" si="7"/>
        <v>Needs improvement</v>
      </c>
      <c r="I90" s="1">
        <v>24470.240000000002</v>
      </c>
      <c r="J90" s="1">
        <v>2023</v>
      </c>
      <c r="K90" s="1">
        <v>5.4</v>
      </c>
      <c r="L90" s="10">
        <f t="shared" si="8"/>
        <v>0</v>
      </c>
      <c r="M90" s="11">
        <f t="shared" si="9"/>
        <v>0</v>
      </c>
      <c r="N90" s="11">
        <f t="shared" si="10"/>
        <v>1</v>
      </c>
      <c r="O90" s="11">
        <f>Table1456[[#This Row],[Total]]/Table1456[[#This Row],[Population]]</f>
        <v>0.18518518518518517</v>
      </c>
      <c r="P90" s="11">
        <f>(Table1456[[#This Row],[Gold]]*3)+(Table1456[[#This Row],[Silver]]*2)+(Table1456[[#This Row],[Bronze]]*1)</f>
        <v>1</v>
      </c>
      <c r="Q90" s="12">
        <f t="shared" si="11"/>
        <v>24470.240000000002</v>
      </c>
      <c r="R90" s="12">
        <f>PRODUCT(Table1456[[#This Row],[GDP]]*Table1456[[#This Row],[Gold]])</f>
        <v>0</v>
      </c>
      <c r="S90" s="9" t="str">
        <f t="shared" si="12"/>
        <v>Low GDP</v>
      </c>
      <c r="T90" s="14" t="str">
        <f t="shared" si="13"/>
        <v>Low performer</v>
      </c>
      <c r="U90" s="8"/>
      <c r="V90" s="8"/>
      <c r="W90" s="8"/>
      <c r="X90" s="8"/>
      <c r="Y90" s="8"/>
      <c r="Z90" s="8"/>
      <c r="AA90" s="8"/>
    </row>
    <row r="91" spans="1:27" x14ac:dyDescent="0.25">
      <c r="A91" s="22" t="s">
        <v>185</v>
      </c>
      <c r="B91" s="23" t="s">
        <v>186</v>
      </c>
      <c r="C91" s="23" t="s">
        <v>38</v>
      </c>
      <c r="D91" s="23">
        <v>0</v>
      </c>
      <c r="E91" s="23">
        <v>0</v>
      </c>
      <c r="F91" s="23">
        <v>1</v>
      </c>
      <c r="G91" s="23">
        <v>1</v>
      </c>
      <c r="H91" s="9" t="str">
        <f t="shared" si="7"/>
        <v>Needs improvement</v>
      </c>
      <c r="I91" s="23">
        <v>1369.13</v>
      </c>
      <c r="J91" s="23">
        <v>2023</v>
      </c>
      <c r="K91" s="23">
        <v>20.6</v>
      </c>
      <c r="L91" s="25">
        <f t="shared" si="8"/>
        <v>0</v>
      </c>
      <c r="M91" s="26">
        <f t="shared" si="9"/>
        <v>0</v>
      </c>
      <c r="N91" s="26">
        <f t="shared" si="10"/>
        <v>1</v>
      </c>
      <c r="O91" s="26">
        <f>Table1456[[#This Row],[Total]]/Table1456[[#This Row],[Population]]</f>
        <v>4.8543689320388349E-2</v>
      </c>
      <c r="P91" s="26">
        <f>(Table1456[[#This Row],[Gold]]*3)+(Table1456[[#This Row],[Silver]]*2)+(Table1456[[#This Row],[Bronze]]*1)</f>
        <v>1</v>
      </c>
      <c r="Q91" s="27">
        <f t="shared" si="11"/>
        <v>1369.13</v>
      </c>
      <c r="R91" s="12">
        <f>PRODUCT(Table1456[[#This Row],[GDP]]*Table1456[[#This Row],[Gold]])</f>
        <v>0</v>
      </c>
      <c r="S91" s="24" t="str">
        <f t="shared" si="12"/>
        <v>Low GDP</v>
      </c>
      <c r="T91" s="28" t="str">
        <f t="shared" si="13"/>
        <v>Low performer</v>
      </c>
      <c r="U91" s="8"/>
      <c r="V91" s="8"/>
      <c r="W91" s="8"/>
      <c r="X91" s="8"/>
      <c r="Y91" s="8"/>
      <c r="Z91" s="8"/>
      <c r="AA91" s="8"/>
    </row>
  </sheetData>
  <pageMargins left="0.7" right="0.7" top="0.75" bottom="0.75" header="0.3" footer="0.3"/>
  <ignoredErrors>
    <ignoredError sqref="L20:N20" evalError="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19213-BA21-44CA-8F58-C09401F601A2}">
  <sheetPr>
    <tabColor rgb="FFFFFF00"/>
  </sheetPr>
  <dimension ref="A1:H84"/>
  <sheetViews>
    <sheetView topLeftCell="A65" workbookViewId="0">
      <selection activeCell="A86" sqref="A86"/>
    </sheetView>
  </sheetViews>
  <sheetFormatPr defaultRowHeight="15" x14ac:dyDescent="0.25"/>
  <cols>
    <col min="1" max="1" width="80.7109375" bestFit="1" customWidth="1"/>
    <col min="2" max="2" width="39" style="2" bestFit="1" customWidth="1"/>
    <col min="4" max="4" width="15.42578125" bestFit="1" customWidth="1"/>
    <col min="5" max="5" width="17.7109375" bestFit="1" customWidth="1"/>
  </cols>
  <sheetData>
    <row r="1" spans="1:8" x14ac:dyDescent="0.25">
      <c r="A1" s="3" t="s">
        <v>193</v>
      </c>
      <c r="D1" s="54" t="s">
        <v>273</v>
      </c>
      <c r="E1" s="8"/>
    </row>
    <row r="2" spans="1:8" x14ac:dyDescent="0.25">
      <c r="A2" t="s">
        <v>187</v>
      </c>
      <c r="B2" s="60">
        <f>SUM(Filters!D:D)</f>
        <v>328</v>
      </c>
      <c r="D2" s="8" t="s">
        <v>238</v>
      </c>
      <c r="E2" s="8" t="s">
        <v>274</v>
      </c>
    </row>
    <row r="3" spans="1:8" x14ac:dyDescent="0.25">
      <c r="A3" t="s">
        <v>188</v>
      </c>
      <c r="B3" s="60">
        <f>SUM(Filters!E:E)</f>
        <v>327</v>
      </c>
      <c r="D3" s="8" t="s">
        <v>1</v>
      </c>
      <c r="E3" s="8" t="s">
        <v>275</v>
      </c>
    </row>
    <row r="4" spans="1:8" x14ac:dyDescent="0.25">
      <c r="A4" t="s">
        <v>189</v>
      </c>
      <c r="B4" s="60">
        <f>SUM(Filters!F:F)</f>
        <v>383</v>
      </c>
      <c r="D4" s="8" t="s">
        <v>147</v>
      </c>
      <c r="E4" s="8" t="s">
        <v>276</v>
      </c>
    </row>
    <row r="5" spans="1:8" x14ac:dyDescent="0.25">
      <c r="A5" t="s">
        <v>190</v>
      </c>
      <c r="B5" s="60">
        <f>SUM(Filters!G:G)</f>
        <v>1038</v>
      </c>
      <c r="D5" s="8" t="s">
        <v>3</v>
      </c>
      <c r="E5" s="8" t="s">
        <v>275</v>
      </c>
    </row>
    <row r="6" spans="1:8" x14ac:dyDescent="0.25">
      <c r="A6" t="s">
        <v>191</v>
      </c>
      <c r="B6" s="60">
        <f>SUM(Filters!I:I)</f>
        <v>2203024.8200000008</v>
      </c>
      <c r="D6" s="8" t="s">
        <v>6</v>
      </c>
      <c r="E6" s="8" t="s">
        <v>277</v>
      </c>
    </row>
    <row r="7" spans="1:8" x14ac:dyDescent="0.25">
      <c r="A7" t="s">
        <v>192</v>
      </c>
      <c r="B7" s="60">
        <f>SUM(Filters!K:K)</f>
        <v>6212.4999999999991</v>
      </c>
      <c r="D7" s="8" t="s">
        <v>43</v>
      </c>
      <c r="E7" s="8" t="s">
        <v>278</v>
      </c>
    </row>
    <row r="9" spans="1:8" x14ac:dyDescent="0.25">
      <c r="A9" s="3" t="s">
        <v>194</v>
      </c>
      <c r="D9" t="s">
        <v>279</v>
      </c>
    </row>
    <row r="10" spans="1:8" x14ac:dyDescent="0.25">
      <c r="A10" t="s">
        <v>195</v>
      </c>
      <c r="B10" s="60">
        <f>AVERAGE(Filters!D:D)</f>
        <v>3.6444444444444444</v>
      </c>
      <c r="D10" s="55" t="s">
        <v>280</v>
      </c>
      <c r="E10" s="55" t="str">
        <f>VLOOKUP("India",D2:E7,2,FALSE)</f>
        <v>average</v>
      </c>
    </row>
    <row r="11" spans="1:8" x14ac:dyDescent="0.25">
      <c r="A11" t="s">
        <v>196</v>
      </c>
      <c r="B11" s="60">
        <f>AVERAGE(Filters!E:E)</f>
        <v>3.6333333333333333</v>
      </c>
    </row>
    <row r="12" spans="1:8" x14ac:dyDescent="0.25">
      <c r="A12" t="s">
        <v>197</v>
      </c>
      <c r="B12" s="60">
        <f>AVERAGE(Filters!F:F)</f>
        <v>4.2555555555555555</v>
      </c>
    </row>
    <row r="13" spans="1:8" x14ac:dyDescent="0.25">
      <c r="A13" t="s">
        <v>198</v>
      </c>
      <c r="B13" s="60">
        <f>AVERAGE(Filters!G:G)</f>
        <v>11.533333333333333</v>
      </c>
    </row>
    <row r="14" spans="1:8" x14ac:dyDescent="0.25">
      <c r="A14" t="s">
        <v>199</v>
      </c>
      <c r="B14" s="60">
        <f>AVERAGE(Filters!I:I)</f>
        <v>24478.053555555565</v>
      </c>
      <c r="E14" s="2"/>
      <c r="F14" s="2"/>
      <c r="G14" s="2"/>
      <c r="H14" s="2"/>
    </row>
    <row r="15" spans="1:8" x14ac:dyDescent="0.25">
      <c r="A15" t="s">
        <v>200</v>
      </c>
      <c r="B15" s="60">
        <f>AVERAGE(Filters!K:K)</f>
        <v>69.027777777777771</v>
      </c>
      <c r="E15" s="2"/>
      <c r="F15" s="2"/>
      <c r="G15" s="2"/>
      <c r="H15" s="2"/>
    </row>
    <row r="16" spans="1:8" x14ac:dyDescent="0.25">
      <c r="E16" s="2"/>
      <c r="F16" s="2"/>
      <c r="G16" s="2"/>
      <c r="H16" s="2"/>
    </row>
    <row r="17" spans="1:8" x14ac:dyDescent="0.25">
      <c r="A17" s="3" t="s">
        <v>231</v>
      </c>
      <c r="E17" s="2"/>
      <c r="F17" s="2"/>
      <c r="G17" s="2"/>
      <c r="H17" s="2"/>
    </row>
    <row r="18" spans="1:8" x14ac:dyDescent="0.25">
      <c r="A18" t="s">
        <v>201</v>
      </c>
      <c r="B18" s="60">
        <f>MAX(Filters!I:I)</f>
        <v>103684.88</v>
      </c>
    </row>
    <row r="19" spans="1:8" x14ac:dyDescent="0.25">
      <c r="A19" t="s">
        <v>202</v>
      </c>
      <c r="B19" s="60">
        <f>MIN(Filters!I:I)</f>
        <v>1014.21</v>
      </c>
    </row>
    <row r="20" spans="1:8" x14ac:dyDescent="0.25">
      <c r="A20" t="s">
        <v>203</v>
      </c>
      <c r="B20" s="60">
        <f>MAX(Filters!D:D)</f>
        <v>40</v>
      </c>
    </row>
    <row r="21" spans="1:8" x14ac:dyDescent="0.25">
      <c r="A21" t="s">
        <v>204</v>
      </c>
      <c r="B21" s="60">
        <f>MIN(Filters!D:D)</f>
        <v>0</v>
      </c>
    </row>
    <row r="22" spans="1:8" x14ac:dyDescent="0.25">
      <c r="A22" t="s">
        <v>205</v>
      </c>
      <c r="B22" s="60">
        <f>MAX(Filters!K:K)</f>
        <v>1428.6</v>
      </c>
    </row>
    <row r="23" spans="1:8" x14ac:dyDescent="0.25">
      <c r="A23" t="s">
        <v>206</v>
      </c>
      <c r="B23" s="60">
        <f>MIN(Filters!K:K)</f>
        <v>0.1</v>
      </c>
    </row>
    <row r="25" spans="1:8" x14ac:dyDescent="0.25">
      <c r="A25" s="3" t="s">
        <v>232</v>
      </c>
    </row>
    <row r="26" spans="1:8" x14ac:dyDescent="0.25">
      <c r="A26" t="s">
        <v>207</v>
      </c>
    </row>
    <row r="27" spans="1:8" x14ac:dyDescent="0.25">
      <c r="A27" t="s">
        <v>285</v>
      </c>
    </row>
    <row r="28" spans="1:8" x14ac:dyDescent="0.25">
      <c r="A28" t="s">
        <v>284</v>
      </c>
    </row>
    <row r="29" spans="1:8" x14ac:dyDescent="0.25">
      <c r="A29" t="s">
        <v>208</v>
      </c>
    </row>
    <row r="30" spans="1:8" x14ac:dyDescent="0.25">
      <c r="A30" t="s">
        <v>209</v>
      </c>
    </row>
    <row r="31" spans="1:8" x14ac:dyDescent="0.25">
      <c r="A31" t="s">
        <v>210</v>
      </c>
    </row>
    <row r="32" spans="1:8" x14ac:dyDescent="0.25">
      <c r="A32" t="s">
        <v>211</v>
      </c>
    </row>
    <row r="34" spans="1:2" x14ac:dyDescent="0.25">
      <c r="A34" s="3" t="s">
        <v>233</v>
      </c>
    </row>
    <row r="35" spans="1:2" x14ac:dyDescent="0.25">
      <c r="A35" t="s">
        <v>212</v>
      </c>
    </row>
    <row r="36" spans="1:2" x14ac:dyDescent="0.25">
      <c r="A36" t="s">
        <v>213</v>
      </c>
    </row>
    <row r="37" spans="1:2" x14ac:dyDescent="0.25">
      <c r="A37" t="s">
        <v>214</v>
      </c>
    </row>
    <row r="38" spans="1:2" x14ac:dyDescent="0.25">
      <c r="A38" t="s">
        <v>215</v>
      </c>
    </row>
    <row r="39" spans="1:2" x14ac:dyDescent="0.25">
      <c r="A39" t="s">
        <v>216</v>
      </c>
    </row>
    <row r="41" spans="1:2" x14ac:dyDescent="0.25">
      <c r="A41" s="3" t="s">
        <v>234</v>
      </c>
    </row>
    <row r="42" spans="1:2" x14ac:dyDescent="0.25">
      <c r="A42" t="s">
        <v>217</v>
      </c>
      <c r="B42" s="2" t="str">
        <f>IF(AND(D2&gt;=20,Filters!I2&gt;=50000),"Strong economy and Strong permormance","Others")</f>
        <v>Strong economy and Strong permormance</v>
      </c>
    </row>
    <row r="43" spans="1:2" x14ac:dyDescent="0.25">
      <c r="A43" t="s">
        <v>218</v>
      </c>
      <c r="B43" s="2" t="s">
        <v>287</v>
      </c>
    </row>
    <row r="44" spans="1:2" x14ac:dyDescent="0.25">
      <c r="A44" t="s">
        <v>219</v>
      </c>
    </row>
    <row r="46" spans="1:2" x14ac:dyDescent="0.25">
      <c r="A46" s="3" t="s">
        <v>235</v>
      </c>
    </row>
    <row r="47" spans="1:2" x14ac:dyDescent="0.25">
      <c r="A47" t="s">
        <v>255</v>
      </c>
      <c r="B47" s="60">
        <f>COUNTIFS(C:C,"Europe",Filters!D:D,"&gt;=10")</f>
        <v>0</v>
      </c>
    </row>
    <row r="48" spans="1:2" x14ac:dyDescent="0.25">
      <c r="A48" t="s">
        <v>256</v>
      </c>
      <c r="B48" s="60">
        <f>COUNTIFS(Filters!C:C,"Asia",Filters!G:G,"&gt;50")</f>
        <v>1</v>
      </c>
    </row>
    <row r="49" spans="1:2" x14ac:dyDescent="0.25">
      <c r="A49" t="s">
        <v>220</v>
      </c>
      <c r="B49" s="60">
        <f>COUNTIF(Filters!A:A,"Europe")</f>
        <v>0</v>
      </c>
    </row>
    <row r="50" spans="1:2" x14ac:dyDescent="0.25">
      <c r="A50" t="s">
        <v>221</v>
      </c>
      <c r="B50" s="60">
        <f>COUNTIF(Filters!A:A,"Asia")</f>
        <v>0</v>
      </c>
    </row>
    <row r="51" spans="1:2" x14ac:dyDescent="0.25">
      <c r="A51" t="s">
        <v>222</v>
      </c>
      <c r="B51" s="60">
        <f>COUNTIF(Filters!A:A,Filters!I:I&gt;50000)</f>
        <v>0</v>
      </c>
    </row>
    <row r="53" spans="1:2" x14ac:dyDescent="0.25">
      <c r="A53" s="3" t="s">
        <v>236</v>
      </c>
    </row>
    <row r="54" spans="1:2" x14ac:dyDescent="0.25">
      <c r="A54" t="s">
        <v>223</v>
      </c>
      <c r="B54" s="60">
        <f>SUMIF('Olympics Data'!C:C,"europe",'Olympics Data'!D:D)</f>
        <v>125</v>
      </c>
    </row>
    <row r="55" spans="1:2" x14ac:dyDescent="0.25">
      <c r="A55" t="s">
        <v>224</v>
      </c>
      <c r="B55" s="60">
        <f>SUMIF('Olympics Data'!C:C,"asia",'Olympics Data'!D:D)</f>
        <v>100</v>
      </c>
    </row>
    <row r="56" spans="1:2" x14ac:dyDescent="0.25">
      <c r="A56" t="s">
        <v>225</v>
      </c>
      <c r="B56" s="60">
        <f>SUMIF('Olympics Data'!C:C,"europe",'Olympics Data'!H:H)</f>
        <v>1150247.1699999997</v>
      </c>
    </row>
    <row r="57" spans="1:2" x14ac:dyDescent="0.25">
      <c r="A57" t="s">
        <v>226</v>
      </c>
      <c r="B57" s="60">
        <f>SUMIF('Olympics Data'!C:C,"asia",'Olympics Data'!J:J)</f>
        <v>4109.3</v>
      </c>
    </row>
    <row r="59" spans="1:2" x14ac:dyDescent="0.25">
      <c r="A59" s="3" t="s">
        <v>257</v>
      </c>
    </row>
    <row r="60" spans="1:2" x14ac:dyDescent="0.25">
      <c r="A60" t="s">
        <v>258</v>
      </c>
      <c r="B60" s="60">
        <f>SUMIFS('Olympics Data'!H:H,'Olympics Data'!C:C,"europe",'Olympics Data'!D:D,"&gt;10")</f>
        <v>246983.08000000002</v>
      </c>
    </row>
    <row r="61" spans="1:2" x14ac:dyDescent="0.25">
      <c r="A61" t="s">
        <v>259</v>
      </c>
      <c r="B61" s="60">
        <f>SUMIFS('Olympics Data'!D:D,'Olympics Data'!C:C,"asia",'Olympics Data'!H:H,"&gt;40000")</f>
        <v>3</v>
      </c>
    </row>
    <row r="63" spans="1:2" x14ac:dyDescent="0.25">
      <c r="A63" s="3" t="s">
        <v>237</v>
      </c>
    </row>
    <row r="64" spans="1:2" x14ac:dyDescent="0.25">
      <c r="A64" t="s">
        <v>227</v>
      </c>
      <c r="B64" s="60">
        <f>AVERAGEIF('Olympics Data'!C:C,"europe",'Olympics Data'!H:H)</f>
        <v>37104.747419354826</v>
      </c>
    </row>
    <row r="65" spans="1:6" x14ac:dyDescent="0.25">
      <c r="A65" t="s">
        <v>228</v>
      </c>
      <c r="B65" s="60">
        <f>AVERAGEIF('Olympics Data'!C:C,"asia",'Olympics Data'!D:D)</f>
        <v>3.8461538461538463</v>
      </c>
    </row>
    <row r="66" spans="1:6" x14ac:dyDescent="0.25">
      <c r="A66" t="s">
        <v>229</v>
      </c>
      <c r="B66" s="60">
        <f>AVERAGEIF('Olympics Data'!C:C,"north america",'Olympics Data'!G:G)</f>
        <v>25.428571428571427</v>
      </c>
    </row>
    <row r="67" spans="1:6" x14ac:dyDescent="0.25">
      <c r="A67" t="s">
        <v>230</v>
      </c>
      <c r="B67" s="60">
        <f>AVERAGEIF('Olympics Data'!C:C,"europe",'Olympics Data'!J:J)</f>
        <v>18.599999999999998</v>
      </c>
    </row>
    <row r="69" spans="1:6" x14ac:dyDescent="0.25">
      <c r="A69" s="57" t="s">
        <v>293</v>
      </c>
      <c r="B69" s="1"/>
      <c r="C69" s="8"/>
      <c r="D69" s="8"/>
      <c r="E69" s="8"/>
      <c r="F69" s="8"/>
    </row>
    <row r="70" spans="1:6" x14ac:dyDescent="0.25">
      <c r="A70" s="8"/>
      <c r="B70" s="1" t="s">
        <v>1</v>
      </c>
      <c r="C70" s="1" t="s">
        <v>4</v>
      </c>
      <c r="D70" s="1" t="s">
        <v>7</v>
      </c>
      <c r="E70" s="1" t="s">
        <v>9</v>
      </c>
      <c r="F70" s="1" t="s">
        <v>12</v>
      </c>
    </row>
    <row r="71" spans="1:6" x14ac:dyDescent="0.25">
      <c r="A71" s="58" t="s">
        <v>291</v>
      </c>
      <c r="B71" s="1">
        <v>40</v>
      </c>
      <c r="C71" s="1">
        <v>40</v>
      </c>
      <c r="D71" s="1">
        <v>20</v>
      </c>
      <c r="E71" s="1">
        <v>18</v>
      </c>
      <c r="F71" s="1">
        <v>16</v>
      </c>
    </row>
    <row r="72" spans="1:6" x14ac:dyDescent="0.25">
      <c r="A72" s="58" t="s">
        <v>292</v>
      </c>
      <c r="B72" s="1">
        <v>126</v>
      </c>
      <c r="C72" s="1">
        <v>91</v>
      </c>
      <c r="D72" s="1">
        <v>45</v>
      </c>
      <c r="E72" s="1">
        <v>53</v>
      </c>
      <c r="F72" s="1">
        <v>64</v>
      </c>
    </row>
    <row r="73" spans="1:6" x14ac:dyDescent="0.25">
      <c r="A73" s="58" t="s">
        <v>245</v>
      </c>
      <c r="B73" s="1">
        <v>81695.19</v>
      </c>
      <c r="C73" s="1">
        <v>12614.06</v>
      </c>
      <c r="D73" s="1">
        <v>33834.39</v>
      </c>
      <c r="E73" s="1">
        <v>64711.77</v>
      </c>
      <c r="F73" s="1">
        <v>44460.82</v>
      </c>
    </row>
    <row r="74" spans="1:6" x14ac:dyDescent="0.25">
      <c r="A74" s="59" t="s">
        <v>294</v>
      </c>
    </row>
    <row r="75" spans="1:6" x14ac:dyDescent="0.25">
      <c r="A75" t="s">
        <v>288</v>
      </c>
      <c r="B75" s="60">
        <f>HLOOKUP("JPN",$B$70:$F$73,2,FALSE)</f>
        <v>20</v>
      </c>
    </row>
    <row r="76" spans="1:6" x14ac:dyDescent="0.25">
      <c r="A76" t="s">
        <v>289</v>
      </c>
      <c r="B76" s="60">
        <f>HLOOKUP("AUS",$B$70:$F$73,3,FALSE)</f>
        <v>53</v>
      </c>
    </row>
    <row r="77" spans="1:6" x14ac:dyDescent="0.25">
      <c r="A77" t="s">
        <v>290</v>
      </c>
      <c r="B77" s="60">
        <f>HLOOKUP("FRA",$B$70:$F$73,4,FALSE)</f>
        <v>44460.82</v>
      </c>
    </row>
    <row r="79" spans="1:6" x14ac:dyDescent="0.25">
      <c r="A79" s="56" t="s">
        <v>281</v>
      </c>
    </row>
    <row r="80" spans="1:6" x14ac:dyDescent="0.25">
      <c r="A80" t="s">
        <v>295</v>
      </c>
      <c r="B80" s="60">
        <f>INDEX('new columns'!I:I,MATCH("China",'new columns'!A:A,0))</f>
        <v>12614.06</v>
      </c>
    </row>
    <row r="81" spans="1:2" x14ac:dyDescent="0.25">
      <c r="A81" t="s">
        <v>296</v>
      </c>
      <c r="B81" s="61">
        <f>INDEX('new columns'!L:L,MATCH("Japan",'new columns'!A:A,0))</f>
        <v>0.44444444444444442</v>
      </c>
    </row>
    <row r="82" spans="1:2" x14ac:dyDescent="0.25">
      <c r="A82" t="s">
        <v>297</v>
      </c>
      <c r="B82" s="60" t="str">
        <f>INDEX('new columns'!T:T,MATCH("France",'new columns'!A:A,0))</f>
        <v>Low performer</v>
      </c>
    </row>
    <row r="84" spans="1:2" x14ac:dyDescent="0.25">
      <c r="A84" s="6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59166-B84F-4985-9D4E-88D21C4FDDE7}">
  <sheetPr>
    <tabColor rgb="FF92D050"/>
  </sheetPr>
  <dimension ref="E7"/>
  <sheetViews>
    <sheetView showGridLines="0" tabSelected="1" zoomScale="81" zoomScaleNormal="98" workbookViewId="0">
      <selection activeCell="W31" sqref="W31"/>
    </sheetView>
  </sheetViews>
  <sheetFormatPr defaultRowHeight="15" x14ac:dyDescent="0.25"/>
  <sheetData>
    <row r="7" spans="5:5" x14ac:dyDescent="0.25">
      <c r="E7" s="5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E04AE-8F36-48A6-8732-61ED25BC8B2A}">
  <sheetPr>
    <tabColor rgb="FFFDA5F7"/>
  </sheetPr>
  <dimension ref="A3:D132"/>
  <sheetViews>
    <sheetView topLeftCell="B44" workbookViewId="0">
      <selection activeCell="N61" sqref="N61"/>
    </sheetView>
  </sheetViews>
  <sheetFormatPr defaultRowHeight="15" x14ac:dyDescent="0.25"/>
  <cols>
    <col min="1" max="1" width="14.28515625" bestFit="1" customWidth="1"/>
    <col min="2" max="2" width="16.140625" bestFit="1" customWidth="1"/>
    <col min="3" max="3" width="17.85546875" bestFit="1" customWidth="1"/>
    <col min="4" max="4" width="19" bestFit="1" customWidth="1"/>
  </cols>
  <sheetData>
    <row r="3" spans="1:4" x14ac:dyDescent="0.25">
      <c r="A3" s="51" t="s">
        <v>260</v>
      </c>
      <c r="B3" t="s">
        <v>262</v>
      </c>
    </row>
    <row r="4" spans="1:4" x14ac:dyDescent="0.25">
      <c r="A4" s="52" t="s">
        <v>38</v>
      </c>
      <c r="B4" s="63">
        <v>39</v>
      </c>
    </row>
    <row r="5" spans="1:4" x14ac:dyDescent="0.25">
      <c r="A5" s="52" t="s">
        <v>5</v>
      </c>
      <c r="B5" s="63">
        <v>282</v>
      </c>
    </row>
    <row r="6" spans="1:4" x14ac:dyDescent="0.25">
      <c r="A6" s="52" t="s">
        <v>120</v>
      </c>
      <c r="B6" s="63">
        <v>7</v>
      </c>
    </row>
    <row r="7" spans="1:4" x14ac:dyDescent="0.25">
      <c r="A7" s="52" t="s">
        <v>13</v>
      </c>
      <c r="B7" s="63">
        <v>415</v>
      </c>
    </row>
    <row r="8" spans="1:4" x14ac:dyDescent="0.25">
      <c r="A8" s="52" t="s">
        <v>2</v>
      </c>
      <c r="B8" s="63">
        <v>178</v>
      </c>
    </row>
    <row r="9" spans="1:4" x14ac:dyDescent="0.25">
      <c r="A9" s="52" t="s">
        <v>10</v>
      </c>
      <c r="B9" s="63">
        <v>74</v>
      </c>
    </row>
    <row r="10" spans="1:4" x14ac:dyDescent="0.25">
      <c r="A10" s="52" t="s">
        <v>45</v>
      </c>
      <c r="B10" s="63">
        <v>36</v>
      </c>
    </row>
    <row r="11" spans="1:4" x14ac:dyDescent="0.25">
      <c r="A11" s="52" t="s">
        <v>261</v>
      </c>
      <c r="B11" s="63">
        <v>1031</v>
      </c>
    </row>
    <row r="13" spans="1:4" x14ac:dyDescent="0.25">
      <c r="A13" s="51" t="s">
        <v>260</v>
      </c>
      <c r="B13" t="s">
        <v>267</v>
      </c>
      <c r="C13" t="s">
        <v>268</v>
      </c>
      <c r="D13" t="s">
        <v>269</v>
      </c>
    </row>
    <row r="14" spans="1:4" x14ac:dyDescent="0.25">
      <c r="A14" s="52" t="s">
        <v>38</v>
      </c>
      <c r="B14" s="63">
        <v>0.30113636363636365</v>
      </c>
      <c r="C14" s="63">
        <v>0.25820707070707072</v>
      </c>
      <c r="D14" s="63">
        <v>0.44065656565656558</v>
      </c>
    </row>
    <row r="15" spans="1:4" x14ac:dyDescent="0.25">
      <c r="A15" s="52" t="s">
        <v>5</v>
      </c>
      <c r="B15" s="63">
        <v>0.24408137268714197</v>
      </c>
      <c r="C15" s="63">
        <v>0.29366811073541838</v>
      </c>
      <c r="D15" s="63">
        <v>0.46225051657743965</v>
      </c>
    </row>
    <row r="16" spans="1:4" x14ac:dyDescent="0.25">
      <c r="A16" s="52" t="s">
        <v>120</v>
      </c>
      <c r="B16" s="63">
        <v>0.375</v>
      </c>
      <c r="C16" s="63">
        <v>0.125</v>
      </c>
      <c r="D16" s="63">
        <v>0.5</v>
      </c>
    </row>
    <row r="17" spans="1:4" x14ac:dyDescent="0.25">
      <c r="A17" s="52" t="s">
        <v>13</v>
      </c>
      <c r="B17" s="63" t="e">
        <v>#DIV/0!</v>
      </c>
      <c r="C17" s="63" t="e">
        <v>#DIV/0!</v>
      </c>
      <c r="D17" s="63" t="e">
        <v>#DIV/0!</v>
      </c>
    </row>
    <row r="18" spans="1:4" x14ac:dyDescent="0.25">
      <c r="A18" s="52" t="s">
        <v>2</v>
      </c>
      <c r="B18" s="63">
        <v>0.26757369614512466</v>
      </c>
      <c r="C18" s="63">
        <v>0.25993953136810283</v>
      </c>
      <c r="D18" s="63">
        <v>0.47248677248677245</v>
      </c>
    </row>
    <row r="19" spans="1:4" x14ac:dyDescent="0.25">
      <c r="A19" s="52" t="s">
        <v>10</v>
      </c>
      <c r="B19" s="63">
        <v>0.27987421383647798</v>
      </c>
      <c r="C19" s="63">
        <v>0.56949685534591199</v>
      </c>
      <c r="D19" s="63">
        <v>0.15062893081761006</v>
      </c>
    </row>
    <row r="20" spans="1:4" x14ac:dyDescent="0.25">
      <c r="A20" s="52" t="s">
        <v>45</v>
      </c>
      <c r="B20" s="63">
        <v>0.16904761904761906</v>
      </c>
      <c r="C20" s="63">
        <v>0.47619047619047616</v>
      </c>
      <c r="D20" s="63">
        <v>0.35476190476190478</v>
      </c>
    </row>
    <row r="21" spans="1:4" x14ac:dyDescent="0.25">
      <c r="A21" s="52" t="s">
        <v>261</v>
      </c>
      <c r="B21" s="63" t="e">
        <v>#DIV/0!</v>
      </c>
      <c r="C21" s="63" t="e">
        <v>#DIV/0!</v>
      </c>
      <c r="D21" s="63" t="e">
        <v>#DIV/0!</v>
      </c>
    </row>
    <row r="22" spans="1:4" x14ac:dyDescent="0.25">
      <c r="A22" s="51" t="s">
        <v>260</v>
      </c>
      <c r="B22" t="s">
        <v>270</v>
      </c>
    </row>
    <row r="23" spans="1:4" x14ac:dyDescent="0.25">
      <c r="A23" s="52" t="s">
        <v>38</v>
      </c>
      <c r="B23" s="63">
        <v>1679.4332196969699</v>
      </c>
    </row>
    <row r="24" spans="1:4" x14ac:dyDescent="0.25">
      <c r="A24" s="52" t="s">
        <v>5</v>
      </c>
      <c r="B24" s="63">
        <v>9078.7617892452108</v>
      </c>
    </row>
    <row r="25" spans="1:4" x14ac:dyDescent="0.25">
      <c r="A25" s="52" t="s">
        <v>120</v>
      </c>
      <c r="B25" s="63">
        <v>9891.3250000000007</v>
      </c>
    </row>
    <row r="26" spans="1:4" x14ac:dyDescent="0.25">
      <c r="A26" s="52" t="s">
        <v>13</v>
      </c>
      <c r="B26" s="63" t="e">
        <v>#DIV/0!</v>
      </c>
    </row>
    <row r="27" spans="1:4" x14ac:dyDescent="0.25">
      <c r="A27" s="52" t="s">
        <v>2</v>
      </c>
      <c r="B27" s="63">
        <v>2757.7294504913079</v>
      </c>
    </row>
    <row r="28" spans="1:4" x14ac:dyDescent="0.25">
      <c r="A28" s="52" t="s">
        <v>10</v>
      </c>
      <c r="B28" s="63">
        <v>3171.8427641509429</v>
      </c>
    </row>
    <row r="29" spans="1:4" x14ac:dyDescent="0.25">
      <c r="A29" s="52" t="s">
        <v>45</v>
      </c>
      <c r="B29" s="63">
        <v>6161.2685952380953</v>
      </c>
    </row>
    <row r="30" spans="1:4" x14ac:dyDescent="0.25">
      <c r="A30" s="52" t="s">
        <v>261</v>
      </c>
      <c r="B30" s="63" t="e">
        <v>#DIV/0!</v>
      </c>
    </row>
    <row r="31" spans="1:4" x14ac:dyDescent="0.25">
      <c r="A31" s="51" t="s">
        <v>260</v>
      </c>
      <c r="B31" t="s">
        <v>271</v>
      </c>
    </row>
    <row r="32" spans="1:4" x14ac:dyDescent="0.25">
      <c r="A32" s="52" t="s">
        <v>266</v>
      </c>
      <c r="B32" s="63">
        <v>17</v>
      </c>
    </row>
    <row r="33" spans="1:2" x14ac:dyDescent="0.25">
      <c r="A33" s="52" t="s">
        <v>264</v>
      </c>
      <c r="B33" s="63">
        <v>73</v>
      </c>
    </row>
    <row r="34" spans="1:2" x14ac:dyDescent="0.25">
      <c r="A34" s="52" t="s">
        <v>261</v>
      </c>
      <c r="B34" s="63">
        <v>90</v>
      </c>
    </row>
    <row r="36" spans="1:2" x14ac:dyDescent="0.25">
      <c r="A36" s="51" t="s">
        <v>260</v>
      </c>
      <c r="B36" t="s">
        <v>271</v>
      </c>
    </row>
    <row r="37" spans="1:2" x14ac:dyDescent="0.25">
      <c r="A37" s="52" t="s">
        <v>265</v>
      </c>
      <c r="B37" s="63">
        <v>87</v>
      </c>
    </row>
    <row r="38" spans="1:2" x14ac:dyDescent="0.25">
      <c r="A38" s="52" t="s">
        <v>272</v>
      </c>
      <c r="B38" s="63">
        <v>3</v>
      </c>
    </row>
    <row r="39" spans="1:2" x14ac:dyDescent="0.25">
      <c r="A39" s="52" t="s">
        <v>261</v>
      </c>
      <c r="B39" s="63">
        <v>90</v>
      </c>
    </row>
    <row r="41" spans="1:2" x14ac:dyDescent="0.25">
      <c r="A41" s="51" t="s">
        <v>260</v>
      </c>
      <c r="B41" t="s">
        <v>263</v>
      </c>
    </row>
    <row r="42" spans="1:2" x14ac:dyDescent="0.25">
      <c r="A42" s="52" t="s">
        <v>147</v>
      </c>
      <c r="B42" s="63">
        <v>0</v>
      </c>
    </row>
    <row r="43" spans="1:2" x14ac:dyDescent="0.25">
      <c r="A43" s="52" t="s">
        <v>43</v>
      </c>
      <c r="B43" s="63">
        <v>3</v>
      </c>
    </row>
    <row r="44" spans="1:2" x14ac:dyDescent="0.25">
      <c r="A44" s="52" t="s">
        <v>165</v>
      </c>
      <c r="B44" s="63">
        <v>0</v>
      </c>
    </row>
    <row r="45" spans="1:2" x14ac:dyDescent="0.25">
      <c r="A45" s="52" t="s">
        <v>82</v>
      </c>
      <c r="B45" s="63">
        <v>2</v>
      </c>
    </row>
    <row r="46" spans="1:2" x14ac:dyDescent="0.25">
      <c r="A46" s="52" t="s">
        <v>108</v>
      </c>
      <c r="B46" s="63">
        <v>1</v>
      </c>
    </row>
    <row r="47" spans="1:2" x14ac:dyDescent="0.25">
      <c r="A47" s="52" t="s">
        <v>137</v>
      </c>
      <c r="B47" s="63">
        <v>0</v>
      </c>
    </row>
    <row r="48" spans="1:2" x14ac:dyDescent="0.25">
      <c r="A48" s="52" t="s">
        <v>8</v>
      </c>
      <c r="B48" s="63">
        <v>18</v>
      </c>
    </row>
    <row r="49" spans="1:2" x14ac:dyDescent="0.25">
      <c r="A49" s="52" t="s">
        <v>76</v>
      </c>
      <c r="B49" s="63">
        <v>2</v>
      </c>
    </row>
    <row r="50" spans="1:2" x14ac:dyDescent="0.25">
      <c r="A50" s="52" t="s">
        <v>64</v>
      </c>
      <c r="B50" s="63">
        <v>2</v>
      </c>
    </row>
    <row r="51" spans="1:2" x14ac:dyDescent="0.25">
      <c r="A51" s="52" t="s">
        <v>70</v>
      </c>
      <c r="B51" s="63">
        <v>2</v>
      </c>
    </row>
    <row r="52" spans="1:2" x14ac:dyDescent="0.25">
      <c r="A52" s="52" t="s">
        <v>54</v>
      </c>
      <c r="B52" s="63">
        <v>3</v>
      </c>
    </row>
    <row r="53" spans="1:2" x14ac:dyDescent="0.25">
      <c r="A53" s="52" t="s">
        <v>114</v>
      </c>
      <c r="B53" s="63">
        <v>1</v>
      </c>
    </row>
    <row r="54" spans="1:2" x14ac:dyDescent="0.25">
      <c r="A54" s="52" t="s">
        <v>56</v>
      </c>
      <c r="B54" s="63">
        <v>3</v>
      </c>
    </row>
    <row r="55" spans="1:2" x14ac:dyDescent="0.25">
      <c r="A55" s="52" t="s">
        <v>26</v>
      </c>
      <c r="B55" s="63">
        <v>9</v>
      </c>
    </row>
    <row r="56" spans="1:2" x14ac:dyDescent="0.25">
      <c r="A56" s="52" t="s">
        <v>173</v>
      </c>
      <c r="B56" s="63">
        <v>0</v>
      </c>
    </row>
    <row r="57" spans="1:2" x14ac:dyDescent="0.25">
      <c r="A57" s="52" t="s">
        <v>116</v>
      </c>
      <c r="B57" s="63">
        <v>1</v>
      </c>
    </row>
    <row r="58" spans="1:2" x14ac:dyDescent="0.25">
      <c r="A58" s="52" t="s">
        <v>3</v>
      </c>
      <c r="B58" s="63">
        <v>40</v>
      </c>
    </row>
    <row r="59" spans="1:2" x14ac:dyDescent="0.25">
      <c r="A59" s="52" t="s">
        <v>139</v>
      </c>
      <c r="B59" s="63">
        <v>0</v>
      </c>
    </row>
    <row r="60" spans="1:2" x14ac:dyDescent="0.25">
      <c r="A60" s="52" t="s">
        <v>66</v>
      </c>
      <c r="B60" s="63">
        <v>2</v>
      </c>
    </row>
    <row r="61" spans="1:2" x14ac:dyDescent="0.25">
      <c r="A61" s="52" t="s">
        <v>68</v>
      </c>
      <c r="B61" s="63">
        <v>2</v>
      </c>
    </row>
    <row r="62" spans="1:2" x14ac:dyDescent="0.25">
      <c r="A62" s="52" t="s">
        <v>153</v>
      </c>
      <c r="B62" s="63">
        <v>0</v>
      </c>
    </row>
    <row r="63" spans="1:2" x14ac:dyDescent="0.25">
      <c r="A63" s="52" t="s">
        <v>60</v>
      </c>
      <c r="B63" s="63">
        <v>3</v>
      </c>
    </row>
    <row r="64" spans="1:2" x14ac:dyDescent="0.25">
      <c r="A64" s="52" t="s">
        <v>62</v>
      </c>
      <c r="B64" s="63">
        <v>2</v>
      </c>
    </row>
    <row r="65" spans="1:2" x14ac:dyDescent="0.25">
      <c r="A65" s="52" t="s">
        <v>129</v>
      </c>
      <c r="B65" s="63">
        <v>1</v>
      </c>
    </row>
    <row r="66" spans="1:2" x14ac:dyDescent="0.25">
      <c r="A66" s="52" t="s">
        <v>123</v>
      </c>
      <c r="B66" s="63">
        <v>1</v>
      </c>
    </row>
    <row r="67" spans="1:2" x14ac:dyDescent="0.25">
      <c r="A67" s="52" t="s">
        <v>102</v>
      </c>
      <c r="B67" s="63">
        <v>1</v>
      </c>
    </row>
    <row r="68" spans="1:2" x14ac:dyDescent="0.25">
      <c r="A68" s="52" t="s">
        <v>110</v>
      </c>
      <c r="B68" s="63">
        <v>1</v>
      </c>
    </row>
    <row r="69" spans="1:2" x14ac:dyDescent="0.25">
      <c r="A69" s="52" t="s">
        <v>98</v>
      </c>
      <c r="B69" s="63">
        <v>1</v>
      </c>
    </row>
    <row r="70" spans="1:2" x14ac:dyDescent="0.25">
      <c r="A70" s="52" t="s">
        <v>155</v>
      </c>
      <c r="B70" s="63">
        <v>0</v>
      </c>
    </row>
    <row r="71" spans="1:2" x14ac:dyDescent="0.25">
      <c r="A71" s="52" t="s">
        <v>11</v>
      </c>
      <c r="B71" s="63">
        <v>16</v>
      </c>
    </row>
    <row r="72" spans="1:2" x14ac:dyDescent="0.25">
      <c r="A72" s="52" t="s">
        <v>52</v>
      </c>
      <c r="B72" s="63">
        <v>3</v>
      </c>
    </row>
    <row r="73" spans="1:2" x14ac:dyDescent="0.25">
      <c r="A73" s="52" t="s">
        <v>22</v>
      </c>
      <c r="B73" s="63">
        <v>12</v>
      </c>
    </row>
    <row r="74" spans="1:2" x14ac:dyDescent="0.25">
      <c r="A74" s="52" t="s">
        <v>16</v>
      </c>
      <c r="B74" s="63">
        <v>14</v>
      </c>
    </row>
    <row r="75" spans="1:2" x14ac:dyDescent="0.25">
      <c r="A75" s="52" t="s">
        <v>106</v>
      </c>
      <c r="B75" s="63">
        <v>1</v>
      </c>
    </row>
    <row r="76" spans="1:2" x14ac:dyDescent="0.25">
      <c r="A76" s="52" t="s">
        <v>167</v>
      </c>
      <c r="B76" s="63">
        <v>0</v>
      </c>
    </row>
    <row r="77" spans="1:2" x14ac:dyDescent="0.25">
      <c r="A77" s="52" t="s">
        <v>125</v>
      </c>
      <c r="B77" s="63">
        <v>1</v>
      </c>
    </row>
    <row r="78" spans="1:2" x14ac:dyDescent="0.25">
      <c r="A78" s="52" t="s">
        <v>78</v>
      </c>
      <c r="B78" s="63">
        <v>2</v>
      </c>
    </row>
    <row r="79" spans="1:2" x14ac:dyDescent="0.25">
      <c r="A79" s="52" t="s">
        <v>30</v>
      </c>
      <c r="B79" s="63">
        <v>6</v>
      </c>
    </row>
    <row r="80" spans="1:2" x14ac:dyDescent="0.25">
      <c r="A80" s="52" t="s">
        <v>84</v>
      </c>
      <c r="B80" s="63">
        <v>2</v>
      </c>
    </row>
    <row r="81" spans="1:2" x14ac:dyDescent="0.25">
      <c r="A81" s="52" t="s">
        <v>46</v>
      </c>
      <c r="B81" s="63">
        <v>3</v>
      </c>
    </row>
    <row r="82" spans="1:2" x14ac:dyDescent="0.25">
      <c r="A82" s="52" t="s">
        <v>41</v>
      </c>
      <c r="B82" s="63">
        <v>4</v>
      </c>
    </row>
    <row r="83" spans="1:2" x14ac:dyDescent="0.25">
      <c r="A83" s="52" t="s">
        <v>86</v>
      </c>
      <c r="B83" s="63">
        <v>1</v>
      </c>
    </row>
    <row r="84" spans="1:2" x14ac:dyDescent="0.25">
      <c r="A84" s="52" t="s">
        <v>20</v>
      </c>
      <c r="B84" s="63">
        <v>12</v>
      </c>
    </row>
    <row r="85" spans="1:2" x14ac:dyDescent="0.25">
      <c r="A85" s="52" t="s">
        <v>175</v>
      </c>
      <c r="B85" s="63">
        <v>0</v>
      </c>
    </row>
    <row r="86" spans="1:2" x14ac:dyDescent="0.25">
      <c r="A86" s="52" t="s">
        <v>92</v>
      </c>
      <c r="B86" s="63">
        <v>1</v>
      </c>
    </row>
    <row r="87" spans="1:2" x14ac:dyDescent="0.25">
      <c r="A87" s="52" t="s">
        <v>6</v>
      </c>
      <c r="B87" s="63">
        <v>20</v>
      </c>
    </row>
    <row r="88" spans="1:2" x14ac:dyDescent="0.25">
      <c r="A88" s="52" t="s">
        <v>157</v>
      </c>
      <c r="B88" s="63">
        <v>0</v>
      </c>
    </row>
    <row r="89" spans="1:2" x14ac:dyDescent="0.25">
      <c r="A89" s="52" t="s">
        <v>90</v>
      </c>
      <c r="B89" s="63">
        <v>1</v>
      </c>
    </row>
    <row r="90" spans="1:2" x14ac:dyDescent="0.25">
      <c r="A90" s="52" t="s">
        <v>36</v>
      </c>
      <c r="B90" s="63">
        <v>4</v>
      </c>
    </row>
    <row r="91" spans="1:2" x14ac:dyDescent="0.25">
      <c r="A91" s="52" t="s">
        <v>151</v>
      </c>
      <c r="B91" s="63">
        <v>0</v>
      </c>
    </row>
    <row r="92" spans="1:2" x14ac:dyDescent="0.25">
      <c r="A92" s="52" t="s">
        <v>143</v>
      </c>
      <c r="B92" s="63">
        <v>0</v>
      </c>
    </row>
    <row r="93" spans="1:2" x14ac:dyDescent="0.25">
      <c r="A93" s="52" t="s">
        <v>145</v>
      </c>
      <c r="B93" s="63">
        <v>0</v>
      </c>
    </row>
    <row r="94" spans="1:2" x14ac:dyDescent="0.25">
      <c r="A94" s="52" t="s">
        <v>169</v>
      </c>
      <c r="B94" s="63">
        <v>0</v>
      </c>
    </row>
    <row r="95" spans="1:2" x14ac:dyDescent="0.25">
      <c r="A95" s="52" t="s">
        <v>135</v>
      </c>
      <c r="B95" s="63">
        <v>0</v>
      </c>
    </row>
    <row r="96" spans="1:2" x14ac:dyDescent="0.25">
      <c r="A96" s="52" t="s">
        <v>149</v>
      </c>
      <c r="B96" s="63">
        <v>0</v>
      </c>
    </row>
    <row r="97" spans="1:2" x14ac:dyDescent="0.25">
      <c r="A97" s="52" t="s">
        <v>159</v>
      </c>
      <c r="B97" s="63">
        <v>0</v>
      </c>
    </row>
    <row r="98" spans="1:2" x14ac:dyDescent="0.25">
      <c r="A98" s="52" t="s">
        <v>127</v>
      </c>
      <c r="B98" s="63">
        <v>1</v>
      </c>
    </row>
    <row r="99" spans="1:2" x14ac:dyDescent="0.25">
      <c r="A99" s="52" t="s">
        <v>14</v>
      </c>
      <c r="B99" s="63">
        <v>15</v>
      </c>
    </row>
    <row r="100" spans="1:2" x14ac:dyDescent="0.25">
      <c r="A100" s="52" t="s">
        <v>24</v>
      </c>
      <c r="B100" s="63">
        <v>10</v>
      </c>
    </row>
    <row r="101" spans="1:2" x14ac:dyDescent="0.25">
      <c r="A101" s="52" t="s">
        <v>141</v>
      </c>
      <c r="B101" s="63">
        <v>0</v>
      </c>
    </row>
    <row r="102" spans="1:2" x14ac:dyDescent="0.25">
      <c r="A102" s="52" t="s">
        <v>39</v>
      </c>
      <c r="B102" s="63">
        <v>4</v>
      </c>
    </row>
    <row r="103" spans="1:2" x14ac:dyDescent="0.25">
      <c r="A103" s="52" t="s">
        <v>131</v>
      </c>
      <c r="B103" s="63">
        <v>1</v>
      </c>
    </row>
    <row r="104" spans="1:2" x14ac:dyDescent="0.25">
      <c r="A104" s="52" t="s">
        <v>161</v>
      </c>
      <c r="B104" s="63">
        <v>0</v>
      </c>
    </row>
    <row r="105" spans="1:2" x14ac:dyDescent="0.25">
      <c r="A105" s="52" t="s">
        <v>177</v>
      </c>
      <c r="B105" s="63">
        <v>0</v>
      </c>
    </row>
    <row r="106" spans="1:2" x14ac:dyDescent="0.25">
      <c r="A106" s="52" t="s">
        <v>80</v>
      </c>
      <c r="B106" s="63">
        <v>2</v>
      </c>
    </row>
    <row r="107" spans="1:2" x14ac:dyDescent="0.25">
      <c r="A107" s="52" t="s">
        <v>88</v>
      </c>
      <c r="B107" s="63">
        <v>1</v>
      </c>
    </row>
    <row r="108" spans="1:2" x14ac:dyDescent="0.25">
      <c r="A108" s="52" t="s">
        <v>104</v>
      </c>
      <c r="B108" s="63">
        <v>1</v>
      </c>
    </row>
    <row r="109" spans="1:2" x14ac:dyDescent="0.25">
      <c r="A109" s="52" t="s">
        <v>171</v>
      </c>
      <c r="B109" s="63">
        <v>0</v>
      </c>
    </row>
    <row r="110" spans="1:2" x14ac:dyDescent="0.25">
      <c r="A110" s="52" t="s">
        <v>179</v>
      </c>
      <c r="B110" s="63">
        <v>0</v>
      </c>
    </row>
    <row r="111" spans="1:2" x14ac:dyDescent="0.25">
      <c r="A111" s="52" t="s">
        <v>50</v>
      </c>
      <c r="B111" s="63">
        <v>3</v>
      </c>
    </row>
    <row r="112" spans="1:2" x14ac:dyDescent="0.25">
      <c r="A112" s="52" t="s">
        <v>58</v>
      </c>
      <c r="B112" s="63">
        <v>3</v>
      </c>
    </row>
    <row r="113" spans="1:2" x14ac:dyDescent="0.25">
      <c r="A113" s="52" t="s">
        <v>181</v>
      </c>
      <c r="B113" s="63">
        <v>0</v>
      </c>
    </row>
    <row r="114" spans="1:2" x14ac:dyDescent="0.25">
      <c r="A114" s="52" t="s">
        <v>183</v>
      </c>
      <c r="B114" s="63">
        <v>0</v>
      </c>
    </row>
    <row r="115" spans="1:2" x14ac:dyDescent="0.25">
      <c r="A115" s="52" t="s">
        <v>72</v>
      </c>
      <c r="B115" s="63">
        <v>2</v>
      </c>
    </row>
    <row r="116" spans="1:2" x14ac:dyDescent="0.25">
      <c r="A116" s="52" t="s">
        <v>94</v>
      </c>
      <c r="B116" s="63">
        <v>1</v>
      </c>
    </row>
    <row r="117" spans="1:2" x14ac:dyDescent="0.25">
      <c r="A117" s="52" t="s">
        <v>18</v>
      </c>
      <c r="B117" s="63">
        <v>13</v>
      </c>
    </row>
    <row r="118" spans="1:2" x14ac:dyDescent="0.25">
      <c r="A118" s="52" t="s">
        <v>32</v>
      </c>
      <c r="B118" s="63">
        <v>5</v>
      </c>
    </row>
    <row r="119" spans="1:2" x14ac:dyDescent="0.25">
      <c r="A119" s="52" t="s">
        <v>118</v>
      </c>
      <c r="B119" s="63">
        <v>1</v>
      </c>
    </row>
    <row r="120" spans="1:2" x14ac:dyDescent="0.25">
      <c r="A120" s="52" t="s">
        <v>34</v>
      </c>
      <c r="B120" s="63">
        <v>4</v>
      </c>
    </row>
    <row r="121" spans="1:2" x14ac:dyDescent="0.25">
      <c r="A121" s="52" t="s">
        <v>100</v>
      </c>
      <c r="B121" s="63">
        <v>1</v>
      </c>
    </row>
    <row r="122" spans="1:2" x14ac:dyDescent="0.25">
      <c r="A122" s="52" t="s">
        <v>74</v>
      </c>
      <c r="B122" s="63">
        <v>2</v>
      </c>
    </row>
    <row r="123" spans="1:2" x14ac:dyDescent="0.25">
      <c r="A123" s="52" t="s">
        <v>163</v>
      </c>
      <c r="B123" s="63">
        <v>0</v>
      </c>
    </row>
    <row r="124" spans="1:2" x14ac:dyDescent="0.25">
      <c r="A124" s="52" t="s">
        <v>96</v>
      </c>
      <c r="B124" s="63">
        <v>1</v>
      </c>
    </row>
    <row r="125" spans="1:2" x14ac:dyDescent="0.25">
      <c r="A125" s="52" t="s">
        <v>112</v>
      </c>
      <c r="B125" s="63">
        <v>1</v>
      </c>
    </row>
    <row r="126" spans="1:2" x14ac:dyDescent="0.25">
      <c r="A126" s="52" t="s">
        <v>133</v>
      </c>
      <c r="B126" s="63">
        <v>0</v>
      </c>
    </row>
    <row r="127" spans="1:2" x14ac:dyDescent="0.25">
      <c r="A127" s="52" t="s">
        <v>121</v>
      </c>
      <c r="B127" s="63">
        <v>1</v>
      </c>
    </row>
    <row r="128" spans="1:2" x14ac:dyDescent="0.25">
      <c r="A128" s="52" t="s">
        <v>48</v>
      </c>
      <c r="B128" s="63">
        <v>3</v>
      </c>
    </row>
    <row r="129" spans="1:2" x14ac:dyDescent="0.25">
      <c r="A129" s="52" t="s">
        <v>0</v>
      </c>
      <c r="B129" s="63">
        <v>40</v>
      </c>
    </row>
    <row r="130" spans="1:2" x14ac:dyDescent="0.25">
      <c r="A130" s="52" t="s">
        <v>28</v>
      </c>
      <c r="B130" s="63">
        <v>8</v>
      </c>
    </row>
    <row r="131" spans="1:2" x14ac:dyDescent="0.25">
      <c r="A131" s="52" t="s">
        <v>185</v>
      </c>
      <c r="B131" s="63">
        <v>0</v>
      </c>
    </row>
    <row r="132" spans="1:2" x14ac:dyDescent="0.25">
      <c r="A132" s="52" t="s">
        <v>261</v>
      </c>
      <c r="B132" s="63">
        <v>328</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31547-B364-461D-8F5B-D2EF384DB830}">
  <sheetPr>
    <tabColor theme="4" tint="-0.499984740745262"/>
  </sheetPr>
  <dimension ref="A1:X91"/>
  <sheetViews>
    <sheetView topLeftCell="D1" workbookViewId="0">
      <selection activeCell="M11" sqref="M11"/>
    </sheetView>
  </sheetViews>
  <sheetFormatPr defaultRowHeight="15" x14ac:dyDescent="0.25"/>
  <cols>
    <col min="1" max="1" width="18.85546875" style="2" bestFit="1" customWidth="1"/>
    <col min="2" max="2" width="18" style="2" bestFit="1" customWidth="1"/>
    <col min="3" max="3" width="14" style="2" bestFit="1" customWidth="1"/>
    <col min="4" max="4" width="9.85546875" style="46" bestFit="1" customWidth="1"/>
    <col min="5" max="5" width="10.5703125" style="2" bestFit="1" customWidth="1"/>
    <col min="6" max="6" width="11.7109375" style="2" bestFit="1" customWidth="1"/>
    <col min="7" max="7" width="10" style="46" bestFit="1" customWidth="1"/>
    <col min="8" max="8" width="20.85546875" style="4" bestFit="1" customWidth="1"/>
    <col min="9" max="9" width="10" style="46" bestFit="1" customWidth="1"/>
    <col min="10" max="10" width="14.28515625" style="2" bestFit="1" customWidth="1"/>
    <col min="11" max="11" width="15.28515625" style="46" bestFit="1" customWidth="1"/>
    <col min="12" max="12" width="11.85546875" style="50" bestFit="1" customWidth="1"/>
    <col min="13" max="13" width="12.140625" style="6" bestFit="1" customWidth="1"/>
    <col min="14" max="14" width="13.28515625" style="4" bestFit="1" customWidth="1"/>
    <col min="15" max="15" width="19" style="7" bestFit="1" customWidth="1"/>
    <col min="16" max="16" width="17.85546875" style="4" bestFit="1" customWidth="1"/>
    <col min="17" max="17" width="24.140625" style="4" bestFit="1" customWidth="1"/>
  </cols>
  <sheetData>
    <row r="1" spans="1:24" x14ac:dyDescent="0.25">
      <c r="A1" s="15" t="s">
        <v>238</v>
      </c>
      <c r="B1" s="16" t="s">
        <v>239</v>
      </c>
      <c r="C1" s="16" t="s">
        <v>240</v>
      </c>
      <c r="D1" s="43" t="s">
        <v>241</v>
      </c>
      <c r="E1" s="16" t="s">
        <v>242</v>
      </c>
      <c r="F1" s="16" t="s">
        <v>243</v>
      </c>
      <c r="G1" s="43" t="s">
        <v>244</v>
      </c>
      <c r="H1" s="17" t="s">
        <v>253</v>
      </c>
      <c r="I1" s="43" t="s">
        <v>245</v>
      </c>
      <c r="J1" s="16" t="s">
        <v>246</v>
      </c>
      <c r="K1" s="43" t="s">
        <v>247</v>
      </c>
      <c r="L1" s="47" t="s">
        <v>248</v>
      </c>
      <c r="M1" s="19" t="s">
        <v>249</v>
      </c>
      <c r="N1" s="17" t="s">
        <v>250</v>
      </c>
      <c r="O1" s="20" t="s">
        <v>251</v>
      </c>
      <c r="P1" s="17" t="s">
        <v>252</v>
      </c>
      <c r="Q1" s="21" t="s">
        <v>254</v>
      </c>
      <c r="R1" s="8"/>
      <c r="S1" s="8"/>
      <c r="T1" s="8"/>
      <c r="U1" s="8"/>
      <c r="V1" s="8"/>
      <c r="W1" s="8"/>
      <c r="X1" s="8"/>
    </row>
    <row r="2" spans="1:24" x14ac:dyDescent="0.25">
      <c r="A2" s="13" t="s">
        <v>41</v>
      </c>
      <c r="B2" s="1" t="s">
        <v>42</v>
      </c>
      <c r="C2" s="1" t="s">
        <v>13</v>
      </c>
      <c r="D2" s="44">
        <v>4</v>
      </c>
      <c r="E2" s="1">
        <v>0</v>
      </c>
      <c r="F2" s="1">
        <v>3</v>
      </c>
      <c r="G2" s="44"/>
      <c r="H2" s="9" t="str">
        <f t="shared" ref="H2:H33" si="0">IF(G2&gt;=100,"Excellent","Needs improvement")</f>
        <v>Needs improvement</v>
      </c>
      <c r="I2" s="44">
        <v>103684.88</v>
      </c>
      <c r="J2" s="1">
        <v>2023</v>
      </c>
      <c r="K2" s="44">
        <v>5.3</v>
      </c>
      <c r="L2" s="48" t="e">
        <f t="shared" ref="L2:L33" si="1">D2/G2</f>
        <v>#DIV/0!</v>
      </c>
      <c r="M2" s="11" t="e">
        <f t="shared" ref="M2:M33" si="2">E2/G2</f>
        <v>#DIV/0!</v>
      </c>
      <c r="N2" s="11" t="e">
        <f t="shared" ref="N2:N33" si="3">F2/G2</f>
        <v>#DIV/0!</v>
      </c>
      <c r="O2" s="12" t="e">
        <f t="shared" ref="O2:O33" si="4">I2/G2</f>
        <v>#DIV/0!</v>
      </c>
      <c r="P2" s="9" t="str">
        <f t="shared" ref="P2:P33" si="5">IF(I2&gt;=50000,"High GDP","Low GDP")</f>
        <v>High GDP</v>
      </c>
      <c r="Q2" s="14" t="str">
        <f t="shared" ref="Q2:Q33" si="6">IF(D2&gt;=20,"Top performer","Low performer")</f>
        <v>Low performer</v>
      </c>
      <c r="R2" s="8"/>
      <c r="S2" s="8"/>
      <c r="T2" s="8"/>
      <c r="U2" s="8"/>
      <c r="V2" s="8"/>
      <c r="W2" s="8"/>
      <c r="X2" s="8"/>
    </row>
    <row r="3" spans="1:24" x14ac:dyDescent="0.25">
      <c r="A3" s="13" t="s">
        <v>131</v>
      </c>
      <c r="B3" s="1" t="s">
        <v>132</v>
      </c>
      <c r="C3" s="1" t="s">
        <v>5</v>
      </c>
      <c r="D3" s="44">
        <v>1</v>
      </c>
      <c r="E3" s="1">
        <v>0</v>
      </c>
      <c r="F3" s="1">
        <v>0</v>
      </c>
      <c r="G3" s="44">
        <v>1</v>
      </c>
      <c r="H3" s="9" t="str">
        <f t="shared" si="0"/>
        <v>Needs improvement</v>
      </c>
      <c r="I3" s="44">
        <v>1407.02</v>
      </c>
      <c r="J3" s="1">
        <v>2023</v>
      </c>
      <c r="K3" s="44">
        <v>240.5</v>
      </c>
      <c r="L3" s="48">
        <f t="shared" si="1"/>
        <v>1</v>
      </c>
      <c r="M3" s="11">
        <f t="shared" si="2"/>
        <v>0</v>
      </c>
      <c r="N3" s="11">
        <f t="shared" si="3"/>
        <v>0</v>
      </c>
      <c r="O3" s="12">
        <f t="shared" si="4"/>
        <v>1407.02</v>
      </c>
      <c r="P3" s="9" t="str">
        <f t="shared" si="5"/>
        <v>Low GDP</v>
      </c>
      <c r="Q3" s="14" t="str">
        <f t="shared" si="6"/>
        <v>Low performer</v>
      </c>
      <c r="R3" s="8"/>
      <c r="S3" s="8"/>
      <c r="T3" s="8"/>
      <c r="U3" s="8"/>
      <c r="V3" s="8"/>
      <c r="W3" s="8"/>
      <c r="X3" s="8"/>
    </row>
    <row r="4" spans="1:24" x14ac:dyDescent="0.25">
      <c r="A4" s="13" t="s">
        <v>129</v>
      </c>
      <c r="B4" s="1" t="s">
        <v>130</v>
      </c>
      <c r="C4" s="1" t="s">
        <v>120</v>
      </c>
      <c r="D4" s="44">
        <v>1</v>
      </c>
      <c r="E4" s="1">
        <v>0</v>
      </c>
      <c r="F4" s="1">
        <v>0</v>
      </c>
      <c r="G4" s="44">
        <v>1</v>
      </c>
      <c r="H4" s="9" t="str">
        <f t="shared" si="0"/>
        <v>Needs improvement</v>
      </c>
      <c r="I4" s="44">
        <v>8953.9</v>
      </c>
      <c r="J4" s="1">
        <v>2023</v>
      </c>
      <c r="K4" s="44">
        <v>0.1</v>
      </c>
      <c r="L4" s="48">
        <f t="shared" si="1"/>
        <v>1</v>
      </c>
      <c r="M4" s="11">
        <f t="shared" si="2"/>
        <v>0</v>
      </c>
      <c r="N4" s="11">
        <f t="shared" si="3"/>
        <v>0</v>
      </c>
      <c r="O4" s="12">
        <f t="shared" si="4"/>
        <v>8953.9</v>
      </c>
      <c r="P4" s="9" t="str">
        <f t="shared" si="5"/>
        <v>Low GDP</v>
      </c>
      <c r="Q4" s="14" t="str">
        <f t="shared" si="6"/>
        <v>Low performer</v>
      </c>
      <c r="R4" s="8"/>
      <c r="S4" s="8"/>
      <c r="T4" s="8"/>
      <c r="U4" s="8"/>
      <c r="V4" s="8"/>
      <c r="W4" s="8"/>
      <c r="X4" s="8"/>
    </row>
    <row r="5" spans="1:24" x14ac:dyDescent="0.25">
      <c r="A5" s="13" t="s">
        <v>84</v>
      </c>
      <c r="B5" s="1" t="s">
        <v>85</v>
      </c>
      <c r="C5" s="1" t="s">
        <v>5</v>
      </c>
      <c r="D5" s="44">
        <v>2</v>
      </c>
      <c r="E5" s="1">
        <v>0</v>
      </c>
      <c r="F5" s="1">
        <v>1</v>
      </c>
      <c r="G5" s="44">
        <v>3</v>
      </c>
      <c r="H5" s="9" t="str">
        <f t="shared" si="0"/>
        <v>Needs improvement</v>
      </c>
      <c r="I5" s="44">
        <v>4940.55</v>
      </c>
      <c r="J5" s="1">
        <v>2023</v>
      </c>
      <c r="K5" s="44">
        <v>277.5</v>
      </c>
      <c r="L5" s="48">
        <f t="shared" si="1"/>
        <v>0.66666666666666663</v>
      </c>
      <c r="M5" s="11">
        <f t="shared" si="2"/>
        <v>0</v>
      </c>
      <c r="N5" s="11">
        <f t="shared" si="3"/>
        <v>0.33333333333333331</v>
      </c>
      <c r="O5" s="12">
        <f t="shared" si="4"/>
        <v>1646.8500000000001</v>
      </c>
      <c r="P5" s="9" t="str">
        <f t="shared" si="5"/>
        <v>Low GDP</v>
      </c>
      <c r="Q5" s="14" t="str">
        <f t="shared" si="6"/>
        <v>Low performer</v>
      </c>
      <c r="R5" s="8"/>
      <c r="S5" s="8"/>
      <c r="T5" s="8"/>
      <c r="U5" s="8"/>
      <c r="V5" s="8"/>
      <c r="W5" s="8"/>
      <c r="X5" s="8"/>
    </row>
    <row r="6" spans="1:24" x14ac:dyDescent="0.25">
      <c r="A6" s="13" t="s">
        <v>82</v>
      </c>
      <c r="B6" s="1" t="s">
        <v>83</v>
      </c>
      <c r="C6" s="1" t="s">
        <v>38</v>
      </c>
      <c r="D6" s="44">
        <v>2</v>
      </c>
      <c r="E6" s="1">
        <v>0</v>
      </c>
      <c r="F6" s="1">
        <v>1</v>
      </c>
      <c r="G6" s="44">
        <v>3</v>
      </c>
      <c r="H6" s="9" t="str">
        <f t="shared" si="0"/>
        <v>Needs improvement</v>
      </c>
      <c r="I6" s="44">
        <v>5260.21</v>
      </c>
      <c r="J6" s="1">
        <v>2023</v>
      </c>
      <c r="K6" s="44">
        <v>45.6</v>
      </c>
      <c r="L6" s="48">
        <f t="shared" si="1"/>
        <v>0.66666666666666663</v>
      </c>
      <c r="M6" s="11">
        <f t="shared" si="2"/>
        <v>0</v>
      </c>
      <c r="N6" s="11">
        <f t="shared" si="3"/>
        <v>0.33333333333333331</v>
      </c>
      <c r="O6" s="12">
        <f t="shared" si="4"/>
        <v>1753.4033333333334</v>
      </c>
      <c r="P6" s="9" t="str">
        <f t="shared" si="5"/>
        <v>Low GDP</v>
      </c>
      <c r="Q6" s="14" t="str">
        <f t="shared" si="6"/>
        <v>Low performer</v>
      </c>
      <c r="R6" s="8"/>
      <c r="S6" s="8"/>
      <c r="T6" s="8"/>
      <c r="U6" s="8"/>
      <c r="V6" s="8"/>
      <c r="W6" s="8"/>
      <c r="X6" s="8"/>
    </row>
    <row r="7" spans="1:24" x14ac:dyDescent="0.25">
      <c r="A7" s="13" t="s">
        <v>72</v>
      </c>
      <c r="B7" s="1" t="s">
        <v>73</v>
      </c>
      <c r="C7" s="1" t="s">
        <v>13</v>
      </c>
      <c r="D7" s="44">
        <v>2</v>
      </c>
      <c r="E7" s="1">
        <v>1</v>
      </c>
      <c r="F7" s="1">
        <v>0</v>
      </c>
      <c r="G7" s="44">
        <v>3</v>
      </c>
      <c r="H7" s="9" t="str">
        <f t="shared" si="0"/>
        <v>Needs improvement</v>
      </c>
      <c r="I7" s="44">
        <v>32163.51</v>
      </c>
      <c r="J7" s="1">
        <v>2023</v>
      </c>
      <c r="K7" s="44">
        <v>2.1</v>
      </c>
      <c r="L7" s="48">
        <f t="shared" si="1"/>
        <v>0.66666666666666663</v>
      </c>
      <c r="M7" s="11">
        <f t="shared" si="2"/>
        <v>0.33333333333333331</v>
      </c>
      <c r="N7" s="11">
        <f t="shared" si="3"/>
        <v>0</v>
      </c>
      <c r="O7" s="12">
        <f t="shared" si="4"/>
        <v>10721.17</v>
      </c>
      <c r="P7" s="9" t="str">
        <f t="shared" si="5"/>
        <v>Low GDP</v>
      </c>
      <c r="Q7" s="14" t="str">
        <f t="shared" si="6"/>
        <v>Low performer</v>
      </c>
      <c r="R7" s="8"/>
      <c r="S7" s="8"/>
      <c r="T7" s="8"/>
      <c r="U7" s="8"/>
      <c r="V7" s="8"/>
      <c r="W7" s="8"/>
      <c r="X7" s="8"/>
    </row>
    <row r="8" spans="1:24" x14ac:dyDescent="0.25">
      <c r="A8" s="13" t="s">
        <v>28</v>
      </c>
      <c r="B8" s="1" t="s">
        <v>29</v>
      </c>
      <c r="C8" s="1" t="s">
        <v>5</v>
      </c>
      <c r="D8" s="44">
        <v>8</v>
      </c>
      <c r="E8" s="1">
        <v>2</v>
      </c>
      <c r="F8" s="1">
        <v>3</v>
      </c>
      <c r="G8" s="44">
        <v>13</v>
      </c>
      <c r="H8" s="9" t="str">
        <f t="shared" si="0"/>
        <v>Needs improvement</v>
      </c>
      <c r="I8" s="44">
        <v>2496.11</v>
      </c>
      <c r="J8" s="1">
        <v>2023</v>
      </c>
      <c r="K8" s="44">
        <v>36.4</v>
      </c>
      <c r="L8" s="48">
        <f t="shared" si="1"/>
        <v>0.61538461538461542</v>
      </c>
      <c r="M8" s="11">
        <f t="shared" si="2"/>
        <v>0.15384615384615385</v>
      </c>
      <c r="N8" s="11">
        <f t="shared" si="3"/>
        <v>0.23076923076923078</v>
      </c>
      <c r="O8" s="12">
        <f t="shared" si="4"/>
        <v>192.00846153846155</v>
      </c>
      <c r="P8" s="9" t="str">
        <f t="shared" si="5"/>
        <v>Low GDP</v>
      </c>
      <c r="Q8" s="14" t="str">
        <f t="shared" si="6"/>
        <v>Low performer</v>
      </c>
      <c r="R8" s="8"/>
      <c r="S8" s="8"/>
      <c r="T8" s="8"/>
      <c r="U8" s="8"/>
      <c r="V8" s="8"/>
      <c r="W8" s="8"/>
      <c r="X8" s="8"/>
    </row>
    <row r="9" spans="1:24" x14ac:dyDescent="0.25">
      <c r="A9" s="13" t="s">
        <v>60</v>
      </c>
      <c r="B9" s="1" t="s">
        <v>61</v>
      </c>
      <c r="C9" s="1" t="s">
        <v>13</v>
      </c>
      <c r="D9" s="44">
        <v>3</v>
      </c>
      <c r="E9" s="1">
        <v>0</v>
      </c>
      <c r="F9" s="1">
        <v>2</v>
      </c>
      <c r="G9" s="44">
        <v>5</v>
      </c>
      <c r="H9" s="9" t="str">
        <f t="shared" si="0"/>
        <v>Needs improvement</v>
      </c>
      <c r="I9" s="44">
        <v>30427.42</v>
      </c>
      <c r="J9" s="1">
        <v>2023</v>
      </c>
      <c r="K9" s="44">
        <v>10.9</v>
      </c>
      <c r="L9" s="48">
        <f t="shared" si="1"/>
        <v>0.6</v>
      </c>
      <c r="M9" s="11">
        <f t="shared" si="2"/>
        <v>0</v>
      </c>
      <c r="N9" s="11">
        <f t="shared" si="3"/>
        <v>0.4</v>
      </c>
      <c r="O9" s="12">
        <f t="shared" si="4"/>
        <v>6085.4839999999995</v>
      </c>
      <c r="P9" s="9" t="str">
        <f t="shared" si="5"/>
        <v>Low GDP</v>
      </c>
      <c r="Q9" s="14" t="str">
        <f t="shared" si="6"/>
        <v>Low performer</v>
      </c>
      <c r="R9" s="8"/>
      <c r="S9" s="8"/>
      <c r="T9" s="8"/>
      <c r="U9" s="8"/>
      <c r="V9" s="8"/>
      <c r="W9" s="8"/>
      <c r="X9" s="8"/>
    </row>
    <row r="10" spans="1:24" x14ac:dyDescent="0.25">
      <c r="A10" s="13" t="s">
        <v>58</v>
      </c>
      <c r="B10" s="1" t="s">
        <v>59</v>
      </c>
      <c r="C10" s="1" t="s">
        <v>13</v>
      </c>
      <c r="D10" s="44">
        <v>3</v>
      </c>
      <c r="E10" s="1">
        <v>1</v>
      </c>
      <c r="F10" s="1">
        <v>1</v>
      </c>
      <c r="G10" s="44">
        <v>5</v>
      </c>
      <c r="H10" s="9" t="str">
        <f t="shared" si="0"/>
        <v>Needs improvement</v>
      </c>
      <c r="I10" s="44">
        <v>11360.96</v>
      </c>
      <c r="J10" s="1">
        <v>2023</v>
      </c>
      <c r="K10" s="44">
        <v>6.6</v>
      </c>
      <c r="L10" s="48">
        <f t="shared" si="1"/>
        <v>0.6</v>
      </c>
      <c r="M10" s="11">
        <f t="shared" si="2"/>
        <v>0.2</v>
      </c>
      <c r="N10" s="11">
        <f t="shared" si="3"/>
        <v>0.2</v>
      </c>
      <c r="O10" s="12">
        <f t="shared" si="4"/>
        <v>2272.192</v>
      </c>
      <c r="P10" s="9" t="str">
        <f t="shared" si="5"/>
        <v>Low GDP</v>
      </c>
      <c r="Q10" s="14" t="str">
        <f t="shared" si="6"/>
        <v>Low performer</v>
      </c>
      <c r="R10" s="8"/>
      <c r="S10" s="8"/>
      <c r="T10" s="8"/>
      <c r="U10" s="8"/>
      <c r="V10" s="8"/>
      <c r="W10" s="8"/>
      <c r="X10" s="8"/>
    </row>
    <row r="11" spans="1:24" x14ac:dyDescent="0.25">
      <c r="A11" s="13" t="s">
        <v>80</v>
      </c>
      <c r="B11" s="1" t="s">
        <v>81</v>
      </c>
      <c r="C11" s="1" t="s">
        <v>5</v>
      </c>
      <c r="D11" s="44">
        <v>2</v>
      </c>
      <c r="E11" s="1">
        <v>0</v>
      </c>
      <c r="F11" s="1">
        <v>2</v>
      </c>
      <c r="G11" s="44">
        <v>4</v>
      </c>
      <c r="H11" s="9" t="str">
        <f t="shared" si="0"/>
        <v>Needs improvement</v>
      </c>
      <c r="I11" s="44">
        <v>3725.55</v>
      </c>
      <c r="J11" s="1">
        <v>2023</v>
      </c>
      <c r="K11" s="44">
        <v>117.3</v>
      </c>
      <c r="L11" s="48">
        <f t="shared" si="1"/>
        <v>0.5</v>
      </c>
      <c r="M11" s="11">
        <f t="shared" si="2"/>
        <v>0</v>
      </c>
      <c r="N11" s="11">
        <f t="shared" si="3"/>
        <v>0.5</v>
      </c>
      <c r="O11" s="12">
        <f t="shared" si="4"/>
        <v>931.38750000000005</v>
      </c>
      <c r="P11" s="9" t="str">
        <f t="shared" si="5"/>
        <v>Low GDP</v>
      </c>
      <c r="Q11" s="14" t="str">
        <f t="shared" si="6"/>
        <v>Low performer</v>
      </c>
      <c r="R11" s="8"/>
      <c r="S11" s="8"/>
      <c r="T11" s="8"/>
      <c r="U11" s="8"/>
      <c r="V11" s="8"/>
      <c r="W11" s="8"/>
      <c r="X11" s="8"/>
    </row>
    <row r="12" spans="1:24" x14ac:dyDescent="0.25">
      <c r="A12" s="13" t="s">
        <v>121</v>
      </c>
      <c r="B12" s="1" t="s">
        <v>122</v>
      </c>
      <c r="C12" s="1" t="s">
        <v>38</v>
      </c>
      <c r="D12" s="44">
        <v>1</v>
      </c>
      <c r="E12" s="1">
        <v>1</v>
      </c>
      <c r="F12" s="1">
        <v>0</v>
      </c>
      <c r="G12" s="44">
        <v>2</v>
      </c>
      <c r="H12" s="9" t="str">
        <f t="shared" si="0"/>
        <v>Needs improvement</v>
      </c>
      <c r="I12" s="44">
        <v>1014.21</v>
      </c>
      <c r="J12" s="1">
        <v>2023</v>
      </c>
      <c r="K12" s="44">
        <v>48.6</v>
      </c>
      <c r="L12" s="48">
        <f t="shared" si="1"/>
        <v>0.5</v>
      </c>
      <c r="M12" s="11">
        <f t="shared" si="2"/>
        <v>0.5</v>
      </c>
      <c r="N12" s="11">
        <f t="shared" si="3"/>
        <v>0</v>
      </c>
      <c r="O12" s="12">
        <f t="shared" si="4"/>
        <v>507.10500000000002</v>
      </c>
      <c r="P12" s="9" t="str">
        <f t="shared" si="5"/>
        <v>Low GDP</v>
      </c>
      <c r="Q12" s="14" t="str">
        <f t="shared" si="6"/>
        <v>Low performer</v>
      </c>
      <c r="R12" s="8"/>
      <c r="S12" s="8"/>
      <c r="T12" s="8"/>
      <c r="U12" s="8"/>
      <c r="V12" s="8"/>
      <c r="W12" s="8"/>
      <c r="X12" s="8"/>
    </row>
    <row r="13" spans="1:24" x14ac:dyDescent="0.25">
      <c r="A13" s="13" t="s">
        <v>127</v>
      </c>
      <c r="B13" s="1" t="s">
        <v>128</v>
      </c>
      <c r="C13" s="1" t="s">
        <v>38</v>
      </c>
      <c r="D13" s="44">
        <v>1</v>
      </c>
      <c r="E13" s="1">
        <v>0</v>
      </c>
      <c r="F13" s="1">
        <v>1</v>
      </c>
      <c r="G13" s="44">
        <v>2</v>
      </c>
      <c r="H13" s="9" t="str">
        <f t="shared" si="0"/>
        <v>Needs improvement</v>
      </c>
      <c r="I13" s="44">
        <v>3672.11</v>
      </c>
      <c r="J13" s="1">
        <v>2023</v>
      </c>
      <c r="K13" s="44">
        <v>37.799999999999997</v>
      </c>
      <c r="L13" s="48">
        <f t="shared" si="1"/>
        <v>0.5</v>
      </c>
      <c r="M13" s="11">
        <f t="shared" si="2"/>
        <v>0</v>
      </c>
      <c r="N13" s="11">
        <f t="shared" si="3"/>
        <v>0.5</v>
      </c>
      <c r="O13" s="12">
        <f t="shared" si="4"/>
        <v>1836.0550000000001</v>
      </c>
      <c r="P13" s="9" t="str">
        <f t="shared" si="5"/>
        <v>Low GDP</v>
      </c>
      <c r="Q13" s="14" t="str">
        <f t="shared" si="6"/>
        <v>Low performer</v>
      </c>
      <c r="R13" s="8"/>
      <c r="S13" s="8"/>
      <c r="T13" s="8"/>
      <c r="U13" s="8"/>
      <c r="V13" s="8"/>
      <c r="W13" s="8"/>
      <c r="X13" s="8"/>
    </row>
    <row r="14" spans="1:24" x14ac:dyDescent="0.25">
      <c r="A14" s="13" t="s">
        <v>116</v>
      </c>
      <c r="B14" s="1" t="s">
        <v>117</v>
      </c>
      <c r="C14" s="1" t="s">
        <v>45</v>
      </c>
      <c r="D14" s="44">
        <v>1</v>
      </c>
      <c r="E14" s="1">
        <v>1</v>
      </c>
      <c r="F14" s="1">
        <v>0</v>
      </c>
      <c r="G14" s="44">
        <v>2</v>
      </c>
      <c r="H14" s="9" t="str">
        <f t="shared" si="0"/>
        <v>Needs improvement</v>
      </c>
      <c r="I14" s="44">
        <v>17093.240000000002</v>
      </c>
      <c r="J14" s="1">
        <v>2023</v>
      </c>
      <c r="K14" s="44">
        <v>19.600000000000001</v>
      </c>
      <c r="L14" s="48">
        <f t="shared" si="1"/>
        <v>0.5</v>
      </c>
      <c r="M14" s="11">
        <f t="shared" si="2"/>
        <v>0.5</v>
      </c>
      <c r="N14" s="11">
        <f t="shared" si="3"/>
        <v>0</v>
      </c>
      <c r="O14" s="12">
        <f t="shared" si="4"/>
        <v>8546.6200000000008</v>
      </c>
      <c r="P14" s="9" t="str">
        <f t="shared" si="5"/>
        <v>Low GDP</v>
      </c>
      <c r="Q14" s="14" t="str">
        <f t="shared" si="6"/>
        <v>Low performer</v>
      </c>
      <c r="R14" s="8"/>
      <c r="S14" s="8"/>
      <c r="T14" s="8"/>
      <c r="U14" s="8"/>
      <c r="V14" s="8"/>
      <c r="W14" s="8"/>
      <c r="X14" s="8"/>
    </row>
    <row r="15" spans="1:24" x14ac:dyDescent="0.25">
      <c r="A15" s="13" t="s">
        <v>125</v>
      </c>
      <c r="B15" s="1" t="s">
        <v>126</v>
      </c>
      <c r="C15" s="1" t="s">
        <v>2</v>
      </c>
      <c r="D15" s="44">
        <v>1</v>
      </c>
      <c r="E15" s="1">
        <v>0</v>
      </c>
      <c r="F15" s="1">
        <v>1</v>
      </c>
      <c r="G15" s="44">
        <v>2</v>
      </c>
      <c r="H15" s="9" t="str">
        <f t="shared" si="0"/>
        <v>Needs improvement</v>
      </c>
      <c r="I15" s="44">
        <v>5797.52</v>
      </c>
      <c r="J15" s="1">
        <v>2023</v>
      </c>
      <c r="K15" s="44">
        <v>17.600000000000001</v>
      </c>
      <c r="L15" s="48">
        <f t="shared" si="1"/>
        <v>0.5</v>
      </c>
      <c r="M15" s="11">
        <f t="shared" si="2"/>
        <v>0</v>
      </c>
      <c r="N15" s="11">
        <f t="shared" si="3"/>
        <v>0.5</v>
      </c>
      <c r="O15" s="12">
        <f t="shared" si="4"/>
        <v>2898.76</v>
      </c>
      <c r="P15" s="9" t="str">
        <f t="shared" si="5"/>
        <v>Low GDP</v>
      </c>
      <c r="Q15" s="14" t="str">
        <f t="shared" si="6"/>
        <v>Low performer</v>
      </c>
      <c r="R15" s="8"/>
      <c r="S15" s="8"/>
      <c r="T15" s="8"/>
      <c r="U15" s="8"/>
      <c r="V15" s="8"/>
      <c r="W15" s="8"/>
      <c r="X15" s="8"/>
    </row>
    <row r="16" spans="1:24" x14ac:dyDescent="0.25">
      <c r="A16" s="13" t="s">
        <v>78</v>
      </c>
      <c r="B16" s="1" t="s">
        <v>79</v>
      </c>
      <c r="C16" s="1" t="s">
        <v>5</v>
      </c>
      <c r="D16" s="44">
        <v>2</v>
      </c>
      <c r="E16" s="1">
        <v>0</v>
      </c>
      <c r="F16" s="1">
        <v>2</v>
      </c>
      <c r="G16" s="44">
        <v>4</v>
      </c>
      <c r="H16" s="9" t="str">
        <f t="shared" si="0"/>
        <v>Needs improvement</v>
      </c>
      <c r="I16" s="44">
        <v>50696.59</v>
      </c>
      <c r="J16" s="1">
        <v>2023</v>
      </c>
      <c r="K16" s="44">
        <v>7.5</v>
      </c>
      <c r="L16" s="48">
        <f t="shared" si="1"/>
        <v>0.5</v>
      </c>
      <c r="M16" s="11">
        <f t="shared" si="2"/>
        <v>0</v>
      </c>
      <c r="N16" s="11">
        <f t="shared" si="3"/>
        <v>0.5</v>
      </c>
      <c r="O16" s="12">
        <f t="shared" si="4"/>
        <v>12674.147499999999</v>
      </c>
      <c r="P16" s="9" t="str">
        <f t="shared" si="5"/>
        <v>High GDP</v>
      </c>
      <c r="Q16" s="14" t="str">
        <f t="shared" si="6"/>
        <v>Low performer</v>
      </c>
      <c r="R16" s="8"/>
      <c r="S16" s="8"/>
      <c r="T16" s="8"/>
      <c r="U16" s="8"/>
      <c r="V16" s="8"/>
      <c r="W16" s="8"/>
      <c r="X16" s="8"/>
    </row>
    <row r="17" spans="1:24" x14ac:dyDescent="0.25">
      <c r="A17" s="13" t="s">
        <v>39</v>
      </c>
      <c r="B17" s="1" t="s">
        <v>40</v>
      </c>
      <c r="C17" s="1" t="s">
        <v>13</v>
      </c>
      <c r="D17" s="44">
        <v>4</v>
      </c>
      <c r="E17" s="1">
        <v>1</v>
      </c>
      <c r="F17" s="1">
        <v>3</v>
      </c>
      <c r="G17" s="44">
        <v>8</v>
      </c>
      <c r="H17" s="9" t="str">
        <f t="shared" si="0"/>
        <v>Needs improvement</v>
      </c>
      <c r="I17" s="44">
        <v>87961.78</v>
      </c>
      <c r="J17" s="1">
        <v>2023</v>
      </c>
      <c r="K17" s="44">
        <v>5.5</v>
      </c>
      <c r="L17" s="48">
        <f t="shared" si="1"/>
        <v>0.5</v>
      </c>
      <c r="M17" s="11">
        <f t="shared" si="2"/>
        <v>0.125</v>
      </c>
      <c r="N17" s="11">
        <f t="shared" si="3"/>
        <v>0.375</v>
      </c>
      <c r="O17" s="12">
        <f t="shared" si="4"/>
        <v>10995.2225</v>
      </c>
      <c r="P17" s="9" t="str">
        <f t="shared" si="5"/>
        <v>High GDP</v>
      </c>
      <c r="Q17" s="14" t="str">
        <f t="shared" si="6"/>
        <v>Low performer</v>
      </c>
      <c r="R17" s="8"/>
      <c r="S17" s="8"/>
      <c r="T17" s="8"/>
      <c r="U17" s="8"/>
      <c r="V17" s="8"/>
      <c r="W17" s="8"/>
      <c r="X17" s="8"/>
    </row>
    <row r="18" spans="1:24" x14ac:dyDescent="0.25">
      <c r="A18" s="13" t="s">
        <v>24</v>
      </c>
      <c r="B18" s="1" t="s">
        <v>25</v>
      </c>
      <c r="C18" s="1" t="s">
        <v>10</v>
      </c>
      <c r="D18" s="44">
        <v>10</v>
      </c>
      <c r="E18" s="1">
        <v>7</v>
      </c>
      <c r="F18" s="1">
        <v>3</v>
      </c>
      <c r="G18" s="44">
        <v>20</v>
      </c>
      <c r="H18" s="9" t="str">
        <f t="shared" si="0"/>
        <v>Needs improvement</v>
      </c>
      <c r="I18" s="44">
        <v>48527.83</v>
      </c>
      <c r="J18" s="1">
        <v>2023</v>
      </c>
      <c r="K18" s="44">
        <v>5.2</v>
      </c>
      <c r="L18" s="48">
        <f t="shared" si="1"/>
        <v>0.5</v>
      </c>
      <c r="M18" s="11">
        <f t="shared" si="2"/>
        <v>0.35</v>
      </c>
      <c r="N18" s="11">
        <f t="shared" si="3"/>
        <v>0.15</v>
      </c>
      <c r="O18" s="12">
        <f t="shared" si="4"/>
        <v>2426.3915000000002</v>
      </c>
      <c r="P18" s="9" t="str">
        <f t="shared" si="5"/>
        <v>Low GDP</v>
      </c>
      <c r="Q18" s="14" t="str">
        <f t="shared" si="6"/>
        <v>Low performer</v>
      </c>
      <c r="R18" s="8"/>
      <c r="S18" s="8"/>
      <c r="T18" s="8"/>
      <c r="U18" s="8"/>
      <c r="V18" s="8"/>
      <c r="W18" s="8"/>
      <c r="X18" s="8"/>
    </row>
    <row r="19" spans="1:24" x14ac:dyDescent="0.25">
      <c r="A19" s="13" t="s">
        <v>114</v>
      </c>
      <c r="B19" s="1" t="s">
        <v>115</v>
      </c>
      <c r="C19" s="1" t="s">
        <v>38</v>
      </c>
      <c r="D19" s="44">
        <v>1</v>
      </c>
      <c r="E19" s="1">
        <v>1</v>
      </c>
      <c r="F19" s="1">
        <v>0</v>
      </c>
      <c r="G19" s="44">
        <v>2</v>
      </c>
      <c r="H19" s="9" t="str">
        <f t="shared" si="0"/>
        <v>Needs improvement</v>
      </c>
      <c r="I19" s="44">
        <v>7249.8</v>
      </c>
      <c r="J19" s="1">
        <v>2023</v>
      </c>
      <c r="K19" s="44">
        <v>2.7</v>
      </c>
      <c r="L19" s="48">
        <f t="shared" si="1"/>
        <v>0.5</v>
      </c>
      <c r="M19" s="11">
        <f t="shared" si="2"/>
        <v>0.5</v>
      </c>
      <c r="N19" s="11">
        <f t="shared" si="3"/>
        <v>0</v>
      </c>
      <c r="O19" s="12">
        <f t="shared" si="4"/>
        <v>3624.9</v>
      </c>
      <c r="P19" s="9" t="str">
        <f t="shared" si="5"/>
        <v>Low GDP</v>
      </c>
      <c r="Q19" s="14" t="str">
        <f t="shared" si="6"/>
        <v>Low performer</v>
      </c>
      <c r="R19" s="8"/>
      <c r="S19" s="8"/>
      <c r="T19" s="8"/>
      <c r="U19" s="8"/>
      <c r="V19" s="8"/>
      <c r="W19" s="8"/>
      <c r="X19" s="8"/>
    </row>
    <row r="20" spans="1:24" x14ac:dyDescent="0.25">
      <c r="A20" s="13" t="s">
        <v>70</v>
      </c>
      <c r="B20" s="1" t="s">
        <v>71</v>
      </c>
      <c r="C20" s="1" t="s">
        <v>5</v>
      </c>
      <c r="D20" s="44">
        <v>2</v>
      </c>
      <c r="E20" s="1">
        <v>1</v>
      </c>
      <c r="F20" s="1">
        <v>1</v>
      </c>
      <c r="G20" s="44">
        <v>4</v>
      </c>
      <c r="H20" s="9" t="str">
        <f t="shared" si="0"/>
        <v>Needs improvement</v>
      </c>
      <c r="I20" s="44">
        <v>29084.31</v>
      </c>
      <c r="J20" s="1">
        <v>2023</v>
      </c>
      <c r="K20" s="44">
        <v>1.5</v>
      </c>
      <c r="L20" s="48">
        <f t="shared" si="1"/>
        <v>0.5</v>
      </c>
      <c r="M20" s="11">
        <f t="shared" si="2"/>
        <v>0.25</v>
      </c>
      <c r="N20" s="11">
        <f t="shared" si="3"/>
        <v>0.25</v>
      </c>
      <c r="O20" s="12">
        <f t="shared" si="4"/>
        <v>7271.0775000000003</v>
      </c>
      <c r="P20" s="9" t="str">
        <f t="shared" si="5"/>
        <v>Low GDP</v>
      </c>
      <c r="Q20" s="14" t="str">
        <f t="shared" si="6"/>
        <v>Low performer</v>
      </c>
      <c r="R20" s="8"/>
      <c r="S20" s="8"/>
      <c r="T20" s="8"/>
      <c r="U20" s="8"/>
      <c r="V20" s="8"/>
      <c r="W20" s="8"/>
      <c r="X20" s="8"/>
    </row>
    <row r="21" spans="1:24" x14ac:dyDescent="0.25">
      <c r="A21" s="13" t="s">
        <v>118</v>
      </c>
      <c r="B21" s="1" t="s">
        <v>119</v>
      </c>
      <c r="C21" s="1" t="s">
        <v>120</v>
      </c>
      <c r="D21" s="44">
        <v>1</v>
      </c>
      <c r="E21" s="1">
        <v>1</v>
      </c>
      <c r="F21" s="1">
        <v>0</v>
      </c>
      <c r="G21" s="44">
        <v>2</v>
      </c>
      <c r="H21" s="9" t="str">
        <f t="shared" si="0"/>
        <v>Needs improvement</v>
      </c>
      <c r="I21" s="44">
        <v>13980.09</v>
      </c>
      <c r="J21" s="1">
        <v>2023</v>
      </c>
      <c r="K21" s="44">
        <v>0.2</v>
      </c>
      <c r="L21" s="48">
        <f t="shared" si="1"/>
        <v>0.5</v>
      </c>
      <c r="M21" s="11">
        <f t="shared" si="2"/>
        <v>0.5</v>
      </c>
      <c r="N21" s="11">
        <f t="shared" si="3"/>
        <v>0</v>
      </c>
      <c r="O21" s="12">
        <f t="shared" si="4"/>
        <v>6990.0450000000001</v>
      </c>
      <c r="P21" s="9" t="str">
        <f t="shared" si="5"/>
        <v>Low GDP</v>
      </c>
      <c r="Q21" s="14" t="str">
        <f t="shared" si="6"/>
        <v>Low performer</v>
      </c>
      <c r="R21" s="8"/>
      <c r="S21" s="8"/>
      <c r="T21" s="8"/>
      <c r="U21" s="8"/>
      <c r="V21" s="8"/>
      <c r="W21" s="8"/>
      <c r="X21" s="8"/>
    </row>
    <row r="22" spans="1:24" x14ac:dyDescent="0.25">
      <c r="A22" s="13" t="s">
        <v>6</v>
      </c>
      <c r="B22" s="1" t="s">
        <v>7</v>
      </c>
      <c r="C22" s="1" t="s">
        <v>5</v>
      </c>
      <c r="D22" s="44">
        <v>20</v>
      </c>
      <c r="E22" s="1">
        <v>12</v>
      </c>
      <c r="F22" s="1">
        <v>13</v>
      </c>
      <c r="G22" s="44">
        <v>45</v>
      </c>
      <c r="H22" s="9" t="str">
        <f t="shared" si="0"/>
        <v>Needs improvement</v>
      </c>
      <c r="I22" s="44">
        <v>33834.39</v>
      </c>
      <c r="J22" s="1">
        <v>2023</v>
      </c>
      <c r="K22" s="44">
        <v>124.5</v>
      </c>
      <c r="L22" s="48">
        <f t="shared" si="1"/>
        <v>0.44444444444444442</v>
      </c>
      <c r="M22" s="11">
        <f t="shared" si="2"/>
        <v>0.26666666666666666</v>
      </c>
      <c r="N22" s="11">
        <f t="shared" si="3"/>
        <v>0.28888888888888886</v>
      </c>
      <c r="O22" s="12">
        <f t="shared" si="4"/>
        <v>751.87533333333329</v>
      </c>
      <c r="P22" s="9" t="str">
        <f t="shared" si="5"/>
        <v>Low GDP</v>
      </c>
      <c r="Q22" s="14" t="str">
        <f t="shared" si="6"/>
        <v>Top performer</v>
      </c>
      <c r="R22" s="8"/>
      <c r="S22" s="8"/>
      <c r="T22" s="8"/>
      <c r="U22" s="8"/>
      <c r="V22" s="8"/>
      <c r="W22" s="8"/>
      <c r="X22" s="8"/>
    </row>
    <row r="23" spans="1:24" x14ac:dyDescent="0.25">
      <c r="A23" s="13" t="s">
        <v>14</v>
      </c>
      <c r="B23" s="1" t="s">
        <v>15</v>
      </c>
      <c r="C23" s="1" t="s">
        <v>13</v>
      </c>
      <c r="D23" s="44">
        <v>15</v>
      </c>
      <c r="E23" s="1">
        <v>7</v>
      </c>
      <c r="F23" s="1">
        <v>12</v>
      </c>
      <c r="G23" s="44">
        <v>34</v>
      </c>
      <c r="H23" s="9" t="str">
        <f t="shared" si="0"/>
        <v>Needs improvement</v>
      </c>
      <c r="I23" s="44">
        <v>62536.73</v>
      </c>
      <c r="J23" s="1">
        <v>2023</v>
      </c>
      <c r="K23" s="44">
        <v>17.899999999999999</v>
      </c>
      <c r="L23" s="48">
        <f t="shared" si="1"/>
        <v>0.44117647058823528</v>
      </c>
      <c r="M23" s="11">
        <f t="shared" si="2"/>
        <v>0.20588235294117646</v>
      </c>
      <c r="N23" s="11">
        <f t="shared" si="3"/>
        <v>0.35294117647058826</v>
      </c>
      <c r="O23" s="12">
        <f t="shared" si="4"/>
        <v>1839.3155882352942</v>
      </c>
      <c r="P23" s="9" t="str">
        <f t="shared" si="5"/>
        <v>High GDP</v>
      </c>
      <c r="Q23" s="14" t="str">
        <f t="shared" si="6"/>
        <v>Low performer</v>
      </c>
      <c r="R23" s="8"/>
      <c r="S23" s="8"/>
      <c r="T23" s="8"/>
      <c r="U23" s="8"/>
      <c r="V23" s="8"/>
      <c r="W23" s="8"/>
      <c r="X23" s="8"/>
    </row>
    <row r="24" spans="1:24" x14ac:dyDescent="0.25">
      <c r="A24" s="13" t="s">
        <v>3</v>
      </c>
      <c r="B24" s="1" t="s">
        <v>4</v>
      </c>
      <c r="C24" s="1" t="s">
        <v>5</v>
      </c>
      <c r="D24" s="44">
        <v>40</v>
      </c>
      <c r="E24" s="1">
        <v>27</v>
      </c>
      <c r="F24" s="1">
        <v>24</v>
      </c>
      <c r="G24" s="44">
        <v>91</v>
      </c>
      <c r="H24" s="9" t="str">
        <f t="shared" si="0"/>
        <v>Needs improvement</v>
      </c>
      <c r="I24" s="44">
        <v>12614.06</v>
      </c>
      <c r="J24" s="1">
        <v>2023</v>
      </c>
      <c r="K24" s="44">
        <v>1410.7</v>
      </c>
      <c r="L24" s="48">
        <f t="shared" si="1"/>
        <v>0.43956043956043955</v>
      </c>
      <c r="M24" s="11">
        <f t="shared" si="2"/>
        <v>0.2967032967032967</v>
      </c>
      <c r="N24" s="11">
        <f t="shared" si="3"/>
        <v>0.26373626373626374</v>
      </c>
      <c r="O24" s="12">
        <f t="shared" si="4"/>
        <v>138.61604395604394</v>
      </c>
      <c r="P24" s="9" t="str">
        <f t="shared" si="5"/>
        <v>Low GDP</v>
      </c>
      <c r="Q24" s="14" t="str">
        <f t="shared" si="6"/>
        <v>Top performer</v>
      </c>
      <c r="R24" s="8"/>
      <c r="S24" s="8"/>
      <c r="T24" s="8"/>
      <c r="U24" s="8"/>
      <c r="V24" s="8"/>
      <c r="W24" s="8"/>
      <c r="X24" s="8"/>
    </row>
    <row r="25" spans="1:24" x14ac:dyDescent="0.25">
      <c r="A25" s="13" t="s">
        <v>56</v>
      </c>
      <c r="B25" s="1" t="s">
        <v>57</v>
      </c>
      <c r="C25" s="1" t="s">
        <v>13</v>
      </c>
      <c r="D25" s="44">
        <v>3</v>
      </c>
      <c r="E25" s="1">
        <v>1</v>
      </c>
      <c r="F25" s="1">
        <v>3</v>
      </c>
      <c r="G25" s="44">
        <v>7</v>
      </c>
      <c r="H25" s="9" t="str">
        <f t="shared" si="0"/>
        <v>Needs improvement</v>
      </c>
      <c r="I25" s="44">
        <v>15797.6</v>
      </c>
      <c r="J25" s="1">
        <v>2023</v>
      </c>
      <c r="K25" s="44">
        <v>6.4</v>
      </c>
      <c r="L25" s="48">
        <f t="shared" si="1"/>
        <v>0.42857142857142855</v>
      </c>
      <c r="M25" s="11">
        <f t="shared" si="2"/>
        <v>0.14285714285714285</v>
      </c>
      <c r="N25" s="11">
        <f t="shared" si="3"/>
        <v>0.42857142857142855</v>
      </c>
      <c r="O25" s="12">
        <f t="shared" si="4"/>
        <v>2256.8000000000002</v>
      </c>
      <c r="P25" s="9" t="str">
        <f t="shared" si="5"/>
        <v>Low GDP</v>
      </c>
      <c r="Q25" s="14" t="str">
        <f t="shared" si="6"/>
        <v>Low performer</v>
      </c>
      <c r="R25" s="8"/>
      <c r="S25" s="8"/>
      <c r="T25" s="8"/>
      <c r="U25" s="8"/>
      <c r="V25" s="8"/>
      <c r="W25" s="8"/>
      <c r="X25" s="8"/>
    </row>
    <row r="26" spans="1:24" x14ac:dyDescent="0.25">
      <c r="A26" s="13" t="s">
        <v>52</v>
      </c>
      <c r="B26" s="1" t="s">
        <v>53</v>
      </c>
      <c r="C26" s="1" t="s">
        <v>13</v>
      </c>
      <c r="D26" s="44">
        <v>3</v>
      </c>
      <c r="E26" s="1">
        <v>3</v>
      </c>
      <c r="F26" s="1">
        <v>1</v>
      </c>
      <c r="G26" s="44">
        <v>7</v>
      </c>
      <c r="H26" s="9" t="str">
        <f t="shared" si="0"/>
        <v>Needs improvement</v>
      </c>
      <c r="I26" s="44">
        <v>8120.36</v>
      </c>
      <c r="J26" s="1">
        <v>2023</v>
      </c>
      <c r="K26" s="44">
        <v>3.8</v>
      </c>
      <c r="L26" s="48">
        <f t="shared" si="1"/>
        <v>0.42857142857142855</v>
      </c>
      <c r="M26" s="11">
        <f t="shared" si="2"/>
        <v>0.42857142857142855</v>
      </c>
      <c r="N26" s="11">
        <f t="shared" si="3"/>
        <v>0.14285714285714285</v>
      </c>
      <c r="O26" s="12">
        <f t="shared" si="4"/>
        <v>1160.0514285714285</v>
      </c>
      <c r="P26" s="9" t="str">
        <f t="shared" si="5"/>
        <v>Low GDP</v>
      </c>
      <c r="Q26" s="14" t="str">
        <f t="shared" si="6"/>
        <v>Low performer</v>
      </c>
      <c r="R26" s="8"/>
      <c r="S26" s="8"/>
      <c r="T26" s="8"/>
      <c r="U26" s="8"/>
      <c r="V26" s="8"/>
      <c r="W26" s="8"/>
      <c r="X26" s="8"/>
    </row>
    <row r="27" spans="1:24" x14ac:dyDescent="0.25">
      <c r="A27" s="13" t="s">
        <v>18</v>
      </c>
      <c r="B27" s="1" t="s">
        <v>19</v>
      </c>
      <c r="C27" s="1" t="s">
        <v>5</v>
      </c>
      <c r="D27" s="44">
        <v>13</v>
      </c>
      <c r="E27" s="1">
        <v>9</v>
      </c>
      <c r="F27" s="1">
        <v>10</v>
      </c>
      <c r="G27" s="44">
        <v>32</v>
      </c>
      <c r="H27" s="9" t="str">
        <f t="shared" si="0"/>
        <v>Needs improvement</v>
      </c>
      <c r="I27" s="44">
        <v>33121.370000000003</v>
      </c>
      <c r="J27" s="1">
        <v>2023</v>
      </c>
      <c r="K27" s="44">
        <v>51.7</v>
      </c>
      <c r="L27" s="48">
        <f t="shared" si="1"/>
        <v>0.40625</v>
      </c>
      <c r="M27" s="11">
        <f t="shared" si="2"/>
        <v>0.28125</v>
      </c>
      <c r="N27" s="11">
        <f t="shared" si="3"/>
        <v>0.3125</v>
      </c>
      <c r="O27" s="12">
        <f t="shared" si="4"/>
        <v>1035.0428125000001</v>
      </c>
      <c r="P27" s="9" t="str">
        <f t="shared" si="5"/>
        <v>Low GDP</v>
      </c>
      <c r="Q27" s="14" t="str">
        <f t="shared" si="6"/>
        <v>Low performer</v>
      </c>
      <c r="R27" s="8"/>
      <c r="S27" s="8"/>
      <c r="T27" s="8"/>
      <c r="U27" s="8"/>
      <c r="V27" s="8"/>
      <c r="W27" s="8"/>
      <c r="X27" s="8"/>
    </row>
    <row r="28" spans="1:24" x14ac:dyDescent="0.25">
      <c r="A28" s="13" t="s">
        <v>76</v>
      </c>
      <c r="B28" s="1" t="s">
        <v>77</v>
      </c>
      <c r="C28" s="1" t="s">
        <v>13</v>
      </c>
      <c r="D28" s="44">
        <v>2</v>
      </c>
      <c r="E28" s="1">
        <v>0</v>
      </c>
      <c r="F28" s="1">
        <v>3</v>
      </c>
      <c r="G28" s="44">
        <v>5</v>
      </c>
      <c r="H28" s="9" t="str">
        <f t="shared" si="0"/>
        <v>Needs improvement</v>
      </c>
      <c r="I28" s="44">
        <v>56505.97</v>
      </c>
      <c r="J28" s="1">
        <v>2023</v>
      </c>
      <c r="K28" s="44">
        <v>9.1</v>
      </c>
      <c r="L28" s="48">
        <f t="shared" si="1"/>
        <v>0.4</v>
      </c>
      <c r="M28" s="11">
        <f t="shared" si="2"/>
        <v>0</v>
      </c>
      <c r="N28" s="11">
        <f t="shared" si="3"/>
        <v>0.6</v>
      </c>
      <c r="O28" s="12">
        <f t="shared" si="4"/>
        <v>11301.194</v>
      </c>
      <c r="P28" s="9" t="str">
        <f t="shared" si="5"/>
        <v>High GDP</v>
      </c>
      <c r="Q28" s="14" t="str">
        <f t="shared" si="6"/>
        <v>Low performer</v>
      </c>
      <c r="R28" s="8"/>
      <c r="S28" s="8"/>
      <c r="T28" s="8"/>
      <c r="U28" s="8"/>
      <c r="V28" s="8"/>
      <c r="W28" s="8"/>
      <c r="X28" s="8"/>
    </row>
    <row r="29" spans="1:24" x14ac:dyDescent="0.25">
      <c r="A29" s="13" t="s">
        <v>22</v>
      </c>
      <c r="B29" s="1" t="s">
        <v>23</v>
      </c>
      <c r="C29" s="1" t="s">
        <v>13</v>
      </c>
      <c r="D29" s="44">
        <v>12</v>
      </c>
      <c r="E29" s="1">
        <v>13</v>
      </c>
      <c r="F29" s="1">
        <v>8</v>
      </c>
      <c r="G29" s="44">
        <v>33</v>
      </c>
      <c r="H29" s="9" t="str">
        <f t="shared" si="0"/>
        <v>Needs improvement</v>
      </c>
      <c r="I29" s="44">
        <v>52745.760000000002</v>
      </c>
      <c r="J29" s="1">
        <v>2023</v>
      </c>
      <c r="K29" s="44">
        <v>84.5</v>
      </c>
      <c r="L29" s="48">
        <f t="shared" si="1"/>
        <v>0.36363636363636365</v>
      </c>
      <c r="M29" s="11">
        <f t="shared" si="2"/>
        <v>0.39393939393939392</v>
      </c>
      <c r="N29" s="11">
        <f t="shared" si="3"/>
        <v>0.24242424242424243</v>
      </c>
      <c r="O29" s="12">
        <f t="shared" si="4"/>
        <v>1598.3563636363638</v>
      </c>
      <c r="P29" s="9" t="str">
        <f t="shared" si="5"/>
        <v>High GDP</v>
      </c>
      <c r="Q29" s="14" t="str">
        <f t="shared" si="6"/>
        <v>Low performer</v>
      </c>
      <c r="R29" s="8"/>
      <c r="S29" s="8"/>
      <c r="T29" s="8"/>
      <c r="U29" s="8"/>
      <c r="V29" s="8"/>
      <c r="W29" s="8"/>
      <c r="X29" s="8"/>
    </row>
    <row r="30" spans="1:24" x14ac:dyDescent="0.25">
      <c r="A30" s="13" t="s">
        <v>36</v>
      </c>
      <c r="B30" s="1" t="s">
        <v>37</v>
      </c>
      <c r="C30" s="1" t="s">
        <v>38</v>
      </c>
      <c r="D30" s="44">
        <v>4</v>
      </c>
      <c r="E30" s="1">
        <v>2</v>
      </c>
      <c r="F30" s="1">
        <v>5</v>
      </c>
      <c r="G30" s="44">
        <v>11</v>
      </c>
      <c r="H30" s="9" t="str">
        <f t="shared" si="0"/>
        <v>Needs improvement</v>
      </c>
      <c r="I30" s="44">
        <v>1949.9</v>
      </c>
      <c r="J30" s="1">
        <v>2023</v>
      </c>
      <c r="K30" s="44">
        <v>55.1</v>
      </c>
      <c r="L30" s="48">
        <f t="shared" si="1"/>
        <v>0.36363636363636365</v>
      </c>
      <c r="M30" s="11">
        <f t="shared" si="2"/>
        <v>0.18181818181818182</v>
      </c>
      <c r="N30" s="11">
        <f t="shared" si="3"/>
        <v>0.45454545454545453</v>
      </c>
      <c r="O30" s="12">
        <f t="shared" si="4"/>
        <v>177.26363636363638</v>
      </c>
      <c r="P30" s="9" t="str">
        <f t="shared" si="5"/>
        <v>Low GDP</v>
      </c>
      <c r="Q30" s="14" t="str">
        <f t="shared" si="6"/>
        <v>Low performer</v>
      </c>
      <c r="R30" s="8"/>
      <c r="S30" s="8"/>
      <c r="T30" s="8"/>
      <c r="U30" s="8"/>
      <c r="V30" s="8"/>
      <c r="W30" s="8"/>
      <c r="X30" s="8"/>
    </row>
    <row r="31" spans="1:24" x14ac:dyDescent="0.25">
      <c r="A31" s="13" t="s">
        <v>34</v>
      </c>
      <c r="B31" s="1" t="s">
        <v>35</v>
      </c>
      <c r="C31" s="1" t="s">
        <v>13</v>
      </c>
      <c r="D31" s="44">
        <v>4</v>
      </c>
      <c r="E31" s="1">
        <v>4</v>
      </c>
      <c r="F31" s="1">
        <v>3</v>
      </c>
      <c r="G31" s="44">
        <v>11</v>
      </c>
      <c r="H31" s="9" t="str">
        <f t="shared" si="0"/>
        <v>Needs improvement</v>
      </c>
      <c r="I31" s="44">
        <v>56305.25</v>
      </c>
      <c r="J31" s="1">
        <v>2023</v>
      </c>
      <c r="K31" s="44">
        <v>10.5</v>
      </c>
      <c r="L31" s="48">
        <f t="shared" si="1"/>
        <v>0.36363636363636365</v>
      </c>
      <c r="M31" s="11">
        <f t="shared" si="2"/>
        <v>0.36363636363636365</v>
      </c>
      <c r="N31" s="11">
        <f t="shared" si="3"/>
        <v>0.27272727272727271</v>
      </c>
      <c r="O31" s="12">
        <f t="shared" si="4"/>
        <v>5118.659090909091</v>
      </c>
      <c r="P31" s="9" t="str">
        <f t="shared" si="5"/>
        <v>High GDP</v>
      </c>
      <c r="Q31" s="14" t="str">
        <f t="shared" si="6"/>
        <v>Low performer</v>
      </c>
      <c r="R31" s="8"/>
      <c r="S31" s="8"/>
      <c r="T31" s="8"/>
      <c r="U31" s="8"/>
      <c r="V31" s="8"/>
      <c r="W31" s="8"/>
      <c r="X31" s="8"/>
    </row>
    <row r="32" spans="1:24" x14ac:dyDescent="0.25">
      <c r="A32" s="13" t="s">
        <v>8</v>
      </c>
      <c r="B32" s="1" t="s">
        <v>9</v>
      </c>
      <c r="C32" s="1" t="s">
        <v>10</v>
      </c>
      <c r="D32" s="44">
        <v>18</v>
      </c>
      <c r="E32" s="1">
        <v>19</v>
      </c>
      <c r="F32" s="1">
        <v>16</v>
      </c>
      <c r="G32" s="44">
        <v>53</v>
      </c>
      <c r="H32" s="9" t="str">
        <f t="shared" si="0"/>
        <v>Needs improvement</v>
      </c>
      <c r="I32" s="44">
        <v>64711.77</v>
      </c>
      <c r="J32" s="1">
        <v>2023</v>
      </c>
      <c r="K32" s="44">
        <v>26.6</v>
      </c>
      <c r="L32" s="48">
        <f t="shared" si="1"/>
        <v>0.33962264150943394</v>
      </c>
      <c r="M32" s="11">
        <f t="shared" si="2"/>
        <v>0.35849056603773582</v>
      </c>
      <c r="N32" s="11">
        <f t="shared" si="3"/>
        <v>0.30188679245283018</v>
      </c>
      <c r="O32" s="12">
        <f t="shared" si="4"/>
        <v>1220.9767924528301</v>
      </c>
      <c r="P32" s="9" t="str">
        <f t="shared" si="5"/>
        <v>High GDP</v>
      </c>
      <c r="Q32" s="14" t="str">
        <f t="shared" si="6"/>
        <v>Low performer</v>
      </c>
      <c r="R32" s="8"/>
      <c r="S32" s="8"/>
      <c r="T32" s="8"/>
      <c r="U32" s="8"/>
      <c r="V32" s="8"/>
      <c r="W32" s="8"/>
      <c r="X32" s="8"/>
    </row>
    <row r="33" spans="1:24" x14ac:dyDescent="0.25">
      <c r="A33" s="13" t="s">
        <v>110</v>
      </c>
      <c r="B33" s="1" t="s">
        <v>111</v>
      </c>
      <c r="C33" s="1" t="s">
        <v>38</v>
      </c>
      <c r="D33" s="44">
        <v>1</v>
      </c>
      <c r="E33" s="1">
        <v>1</v>
      </c>
      <c r="F33" s="1">
        <v>1</v>
      </c>
      <c r="G33" s="44">
        <v>3</v>
      </c>
      <c r="H33" s="9" t="str">
        <f t="shared" si="0"/>
        <v>Needs improvement</v>
      </c>
      <c r="I33" s="44">
        <v>3512.58</v>
      </c>
      <c r="J33" s="1">
        <v>2023</v>
      </c>
      <c r="K33" s="44">
        <v>112.7</v>
      </c>
      <c r="L33" s="48">
        <f t="shared" si="1"/>
        <v>0.33333333333333331</v>
      </c>
      <c r="M33" s="11">
        <f t="shared" si="2"/>
        <v>0.33333333333333331</v>
      </c>
      <c r="N33" s="11">
        <f t="shared" si="3"/>
        <v>0.33333333333333331</v>
      </c>
      <c r="O33" s="12">
        <f t="shared" si="4"/>
        <v>1170.8599999999999</v>
      </c>
      <c r="P33" s="9" t="str">
        <f t="shared" si="5"/>
        <v>Low GDP</v>
      </c>
      <c r="Q33" s="14" t="str">
        <f t="shared" si="6"/>
        <v>Low performer</v>
      </c>
      <c r="R33" s="8"/>
      <c r="S33" s="8"/>
      <c r="T33" s="8"/>
      <c r="U33" s="8"/>
      <c r="V33" s="8"/>
      <c r="W33" s="8"/>
      <c r="X33" s="8"/>
    </row>
    <row r="34" spans="1:24" x14ac:dyDescent="0.25">
      <c r="A34" s="13" t="s">
        <v>108</v>
      </c>
      <c r="B34" s="1" t="s">
        <v>109</v>
      </c>
      <c r="C34" s="1" t="s">
        <v>45</v>
      </c>
      <c r="D34" s="44">
        <v>1</v>
      </c>
      <c r="E34" s="1">
        <v>1</v>
      </c>
      <c r="F34" s="1">
        <v>1</v>
      </c>
      <c r="G34" s="44">
        <v>3</v>
      </c>
      <c r="H34" s="9" t="str">
        <f t="shared" ref="H34:H65" si="7">IF(G34&gt;=100,"Excellent","Needs improvement")</f>
        <v>Needs improvement</v>
      </c>
      <c r="I34" s="44">
        <v>13730.51</v>
      </c>
      <c r="J34" s="1">
        <v>2023</v>
      </c>
      <c r="K34" s="44">
        <v>46.7</v>
      </c>
      <c r="L34" s="48">
        <f t="shared" ref="L34:L65" si="8">D34/G34</f>
        <v>0.33333333333333331</v>
      </c>
      <c r="M34" s="11">
        <f t="shared" ref="M34:M65" si="9">E34/G34</f>
        <v>0.33333333333333331</v>
      </c>
      <c r="N34" s="11">
        <f t="shared" ref="N34:N65" si="10">F34/G34</f>
        <v>0.33333333333333331</v>
      </c>
      <c r="O34" s="12">
        <f t="shared" ref="O34:O65" si="11">I34/G34</f>
        <v>4576.836666666667</v>
      </c>
      <c r="P34" s="9" t="str">
        <f t="shared" ref="P34:P65" si="12">IF(I34&gt;=50000,"High GDP","Low GDP")</f>
        <v>Low GDP</v>
      </c>
      <c r="Q34" s="14" t="str">
        <f t="shared" ref="Q34:Q65" si="13">IF(D34&gt;=20,"Top performer","Low performer")</f>
        <v>Low performer</v>
      </c>
      <c r="R34" s="8"/>
      <c r="S34" s="8"/>
      <c r="T34" s="8"/>
      <c r="U34" s="8"/>
      <c r="V34" s="8"/>
      <c r="W34" s="8"/>
      <c r="X34" s="8"/>
    </row>
    <row r="35" spans="1:24" x14ac:dyDescent="0.25">
      <c r="A35" s="13" t="s">
        <v>26</v>
      </c>
      <c r="B35" s="1" t="s">
        <v>27</v>
      </c>
      <c r="C35" s="1" t="s">
        <v>2</v>
      </c>
      <c r="D35" s="44">
        <v>9</v>
      </c>
      <c r="E35" s="1">
        <v>7</v>
      </c>
      <c r="F35" s="1">
        <v>11</v>
      </c>
      <c r="G35" s="44">
        <v>27</v>
      </c>
      <c r="H35" s="9" t="str">
        <f t="shared" si="7"/>
        <v>Needs improvement</v>
      </c>
      <c r="I35" s="44">
        <v>53371.7</v>
      </c>
      <c r="J35" s="1">
        <v>2023</v>
      </c>
      <c r="K35" s="44">
        <v>40.1</v>
      </c>
      <c r="L35" s="48">
        <f t="shared" si="8"/>
        <v>0.33333333333333331</v>
      </c>
      <c r="M35" s="11">
        <f t="shared" si="9"/>
        <v>0.25925925925925924</v>
      </c>
      <c r="N35" s="11">
        <f t="shared" si="10"/>
        <v>0.40740740740740738</v>
      </c>
      <c r="O35" s="12">
        <f t="shared" si="11"/>
        <v>1976.7296296296295</v>
      </c>
      <c r="P35" s="9" t="str">
        <f t="shared" si="12"/>
        <v>High GDP</v>
      </c>
      <c r="Q35" s="14" t="str">
        <f t="shared" si="13"/>
        <v>Low performer</v>
      </c>
      <c r="R35" s="8"/>
      <c r="S35" s="8"/>
      <c r="T35" s="8"/>
      <c r="U35" s="8"/>
      <c r="V35" s="8"/>
      <c r="W35" s="8"/>
      <c r="X35" s="8"/>
    </row>
    <row r="36" spans="1:24" x14ac:dyDescent="0.25">
      <c r="A36" s="13" t="s">
        <v>50</v>
      </c>
      <c r="B36" s="1" t="s">
        <v>51</v>
      </c>
      <c r="C36" s="1" t="s">
        <v>13</v>
      </c>
      <c r="D36" s="44">
        <v>3</v>
      </c>
      <c r="E36" s="1">
        <v>4</v>
      </c>
      <c r="F36" s="1">
        <v>2</v>
      </c>
      <c r="G36" s="44">
        <v>9</v>
      </c>
      <c r="H36" s="9" t="str">
        <f t="shared" si="7"/>
        <v>Needs improvement</v>
      </c>
      <c r="I36" s="44">
        <v>18419.419999999998</v>
      </c>
      <c r="J36" s="1">
        <v>2023</v>
      </c>
      <c r="K36" s="44">
        <v>19.100000000000001</v>
      </c>
      <c r="L36" s="48">
        <f t="shared" si="8"/>
        <v>0.33333333333333331</v>
      </c>
      <c r="M36" s="11">
        <f t="shared" si="9"/>
        <v>0.44444444444444442</v>
      </c>
      <c r="N36" s="11">
        <f t="shared" si="10"/>
        <v>0.22222222222222221</v>
      </c>
      <c r="O36" s="12">
        <f t="shared" si="11"/>
        <v>2046.6022222222221</v>
      </c>
      <c r="P36" s="9" t="str">
        <f t="shared" si="12"/>
        <v>Low GDP</v>
      </c>
      <c r="Q36" s="14" t="str">
        <f t="shared" si="13"/>
        <v>Low performer</v>
      </c>
      <c r="R36" s="8"/>
      <c r="S36" s="8"/>
      <c r="T36" s="8"/>
      <c r="U36" s="8"/>
      <c r="V36" s="8"/>
      <c r="W36" s="8"/>
      <c r="X36" s="8"/>
    </row>
    <row r="37" spans="1:24" x14ac:dyDescent="0.25">
      <c r="A37" s="13" t="s">
        <v>112</v>
      </c>
      <c r="B37" s="1" t="s">
        <v>113</v>
      </c>
      <c r="C37" s="1" t="s">
        <v>38</v>
      </c>
      <c r="D37" s="44">
        <v>1</v>
      </c>
      <c r="E37" s="1">
        <v>1</v>
      </c>
      <c r="F37" s="1">
        <v>1</v>
      </c>
      <c r="G37" s="44">
        <v>3</v>
      </c>
      <c r="H37" s="9" t="str">
        <f t="shared" si="7"/>
        <v>Needs improvement</v>
      </c>
      <c r="I37" s="44">
        <v>3895.39</v>
      </c>
      <c r="J37" s="1">
        <v>2023</v>
      </c>
      <c r="K37" s="44">
        <v>12.5</v>
      </c>
      <c r="L37" s="48">
        <f t="shared" si="8"/>
        <v>0.33333333333333331</v>
      </c>
      <c r="M37" s="11">
        <f t="shared" si="9"/>
        <v>0.33333333333333331</v>
      </c>
      <c r="N37" s="11">
        <f t="shared" si="10"/>
        <v>0.33333333333333331</v>
      </c>
      <c r="O37" s="12">
        <f t="shared" si="11"/>
        <v>1298.4633333333334</v>
      </c>
      <c r="P37" s="9" t="str">
        <f t="shared" si="12"/>
        <v>Low GDP</v>
      </c>
      <c r="Q37" s="14" t="str">
        <f t="shared" si="13"/>
        <v>Low performer</v>
      </c>
      <c r="R37" s="8"/>
      <c r="S37" s="8"/>
      <c r="T37" s="8"/>
      <c r="U37" s="8"/>
      <c r="V37" s="8"/>
      <c r="W37" s="8"/>
      <c r="X37" s="8"/>
    </row>
    <row r="38" spans="1:24" x14ac:dyDescent="0.25">
      <c r="A38" s="13" t="s">
        <v>123</v>
      </c>
      <c r="B38" s="1" t="s">
        <v>124</v>
      </c>
      <c r="C38" s="1" t="s">
        <v>2</v>
      </c>
      <c r="D38" s="44">
        <v>1</v>
      </c>
      <c r="E38" s="1">
        <v>0</v>
      </c>
      <c r="F38" s="1">
        <v>2</v>
      </c>
      <c r="G38" s="44">
        <v>3</v>
      </c>
      <c r="H38" s="9" t="str">
        <f t="shared" si="7"/>
        <v>Needs improvement</v>
      </c>
      <c r="I38" s="44">
        <v>10716.01</v>
      </c>
      <c r="J38" s="1">
        <v>2023</v>
      </c>
      <c r="K38" s="44">
        <v>11.3</v>
      </c>
      <c r="L38" s="48">
        <f t="shared" si="8"/>
        <v>0.33333333333333331</v>
      </c>
      <c r="M38" s="11">
        <f t="shared" si="9"/>
        <v>0</v>
      </c>
      <c r="N38" s="11">
        <f t="shared" si="10"/>
        <v>0.66666666666666663</v>
      </c>
      <c r="O38" s="12">
        <f t="shared" si="11"/>
        <v>3572.0033333333336</v>
      </c>
      <c r="P38" s="9" t="str">
        <f t="shared" si="12"/>
        <v>Low GDP</v>
      </c>
      <c r="Q38" s="14" t="str">
        <f t="shared" si="13"/>
        <v>Low performer</v>
      </c>
      <c r="R38" s="8"/>
      <c r="S38" s="8"/>
      <c r="T38" s="8"/>
      <c r="U38" s="8"/>
      <c r="V38" s="8"/>
      <c r="W38" s="8"/>
      <c r="X38" s="8"/>
    </row>
    <row r="39" spans="1:24" x14ac:dyDescent="0.25">
      <c r="A39" s="13" t="s">
        <v>0</v>
      </c>
      <c r="B39" s="1" t="s">
        <v>1</v>
      </c>
      <c r="C39" s="1" t="s">
        <v>2</v>
      </c>
      <c r="D39" s="44">
        <v>40</v>
      </c>
      <c r="E39" s="1">
        <v>44</v>
      </c>
      <c r="F39" s="1">
        <v>42</v>
      </c>
      <c r="G39" s="44">
        <v>126</v>
      </c>
      <c r="H39" s="9" t="str">
        <f t="shared" si="7"/>
        <v>Excellent</v>
      </c>
      <c r="I39" s="44">
        <v>81695.19</v>
      </c>
      <c r="J39" s="1">
        <v>2023</v>
      </c>
      <c r="K39" s="44">
        <v>334.9</v>
      </c>
      <c r="L39" s="48">
        <f t="shared" si="8"/>
        <v>0.31746031746031744</v>
      </c>
      <c r="M39" s="11">
        <f t="shared" si="9"/>
        <v>0.34920634920634919</v>
      </c>
      <c r="N39" s="11">
        <f t="shared" si="10"/>
        <v>0.33333333333333331</v>
      </c>
      <c r="O39" s="12">
        <f t="shared" si="11"/>
        <v>648.37452380952379</v>
      </c>
      <c r="P39" s="9" t="str">
        <f t="shared" si="12"/>
        <v>High GDP</v>
      </c>
      <c r="Q39" s="14" t="str">
        <f t="shared" si="13"/>
        <v>Top performer</v>
      </c>
      <c r="R39" s="8"/>
      <c r="S39" s="8"/>
      <c r="T39" s="8"/>
      <c r="U39" s="8"/>
      <c r="V39" s="8"/>
      <c r="W39" s="8"/>
      <c r="X39" s="8"/>
    </row>
    <row r="40" spans="1:24" x14ac:dyDescent="0.25">
      <c r="A40" s="13" t="s">
        <v>30</v>
      </c>
      <c r="B40" s="1" t="s">
        <v>31</v>
      </c>
      <c r="C40" s="1" t="s">
        <v>13</v>
      </c>
      <c r="D40" s="44">
        <v>6</v>
      </c>
      <c r="E40" s="1">
        <v>7</v>
      </c>
      <c r="F40" s="1">
        <v>6</v>
      </c>
      <c r="G40" s="44">
        <v>19</v>
      </c>
      <c r="H40" s="9" t="str">
        <f t="shared" si="7"/>
        <v>Needs improvement</v>
      </c>
      <c r="I40" s="44">
        <v>22147.21</v>
      </c>
      <c r="J40" s="1">
        <v>2023</v>
      </c>
      <c r="K40" s="44">
        <v>9.6</v>
      </c>
      <c r="L40" s="48">
        <f t="shared" si="8"/>
        <v>0.31578947368421051</v>
      </c>
      <c r="M40" s="11">
        <f t="shared" si="9"/>
        <v>0.36842105263157893</v>
      </c>
      <c r="N40" s="11">
        <f t="shared" si="10"/>
        <v>0.31578947368421051</v>
      </c>
      <c r="O40" s="12">
        <f t="shared" si="11"/>
        <v>1165.6426315789474</v>
      </c>
      <c r="P40" s="9" t="str">
        <f t="shared" si="12"/>
        <v>Low GDP</v>
      </c>
      <c r="Q40" s="14" t="str">
        <f t="shared" si="13"/>
        <v>Low performer</v>
      </c>
      <c r="R40" s="8"/>
      <c r="S40" s="8"/>
      <c r="T40" s="8"/>
      <c r="U40" s="8"/>
      <c r="V40" s="8"/>
      <c r="W40" s="8"/>
      <c r="X40" s="8"/>
    </row>
    <row r="41" spans="1:24" x14ac:dyDescent="0.25">
      <c r="A41" s="13" t="s">
        <v>20</v>
      </c>
      <c r="B41" s="1" t="s">
        <v>21</v>
      </c>
      <c r="C41" s="1" t="s">
        <v>13</v>
      </c>
      <c r="D41" s="44">
        <v>12</v>
      </c>
      <c r="E41" s="1">
        <v>13</v>
      </c>
      <c r="F41" s="1">
        <v>15</v>
      </c>
      <c r="G41" s="44">
        <v>40</v>
      </c>
      <c r="H41" s="9" t="str">
        <f t="shared" si="7"/>
        <v>Needs improvement</v>
      </c>
      <c r="I41" s="44">
        <v>38373.17</v>
      </c>
      <c r="J41" s="1">
        <v>2023</v>
      </c>
      <c r="K41" s="44">
        <v>58.8</v>
      </c>
      <c r="L41" s="48">
        <f t="shared" si="8"/>
        <v>0.3</v>
      </c>
      <c r="M41" s="11">
        <f t="shared" si="9"/>
        <v>0.32500000000000001</v>
      </c>
      <c r="N41" s="11">
        <f t="shared" si="10"/>
        <v>0.375</v>
      </c>
      <c r="O41" s="12">
        <f t="shared" si="11"/>
        <v>959.32925</v>
      </c>
      <c r="P41" s="9" t="str">
        <f t="shared" si="12"/>
        <v>Low GDP</v>
      </c>
      <c r="Q41" s="14" t="str">
        <f t="shared" si="13"/>
        <v>Low performer</v>
      </c>
      <c r="R41" s="8"/>
      <c r="S41" s="8"/>
      <c r="T41" s="8"/>
      <c r="U41" s="8"/>
      <c r="V41" s="8"/>
      <c r="W41" s="8"/>
      <c r="X41" s="8"/>
    </row>
    <row r="42" spans="1:24" x14ac:dyDescent="0.25">
      <c r="A42" s="13" t="s">
        <v>54</v>
      </c>
      <c r="B42" s="1" t="s">
        <v>55</v>
      </c>
      <c r="C42" s="1" t="s">
        <v>13</v>
      </c>
      <c r="D42" s="44">
        <v>3</v>
      </c>
      <c r="E42" s="1">
        <v>1</v>
      </c>
      <c r="F42" s="1">
        <v>6</v>
      </c>
      <c r="G42" s="44">
        <v>10</v>
      </c>
      <c r="H42" s="9" t="str">
        <f t="shared" si="7"/>
        <v>Needs improvement</v>
      </c>
      <c r="I42" s="44">
        <v>53475.29</v>
      </c>
      <c r="J42" s="1">
        <v>2023</v>
      </c>
      <c r="K42" s="44">
        <v>11.8</v>
      </c>
      <c r="L42" s="48">
        <f t="shared" si="8"/>
        <v>0.3</v>
      </c>
      <c r="M42" s="11">
        <f t="shared" si="9"/>
        <v>0.1</v>
      </c>
      <c r="N42" s="11">
        <f t="shared" si="10"/>
        <v>0.6</v>
      </c>
      <c r="O42" s="12">
        <f t="shared" si="11"/>
        <v>5347.5290000000005</v>
      </c>
      <c r="P42" s="9" t="str">
        <f t="shared" si="12"/>
        <v>High GDP</v>
      </c>
      <c r="Q42" s="14" t="str">
        <f t="shared" si="13"/>
        <v>Low performer</v>
      </c>
      <c r="R42" s="8"/>
      <c r="S42" s="8"/>
      <c r="T42" s="8"/>
      <c r="U42" s="8"/>
      <c r="V42" s="8"/>
      <c r="W42" s="8"/>
      <c r="X42" s="8"/>
    </row>
    <row r="43" spans="1:24" x14ac:dyDescent="0.25">
      <c r="A43" s="13" t="s">
        <v>74</v>
      </c>
      <c r="B43" s="1" t="s">
        <v>75</v>
      </c>
      <c r="C43" s="1" t="s">
        <v>5</v>
      </c>
      <c r="D43" s="44">
        <v>2</v>
      </c>
      <c r="E43" s="1">
        <v>0</v>
      </c>
      <c r="F43" s="1">
        <v>5</v>
      </c>
      <c r="G43" s="44">
        <v>7</v>
      </c>
      <c r="H43" s="9" t="str">
        <f t="shared" si="7"/>
        <v>Needs improvement</v>
      </c>
      <c r="I43" s="44">
        <v>32443.71</v>
      </c>
      <c r="J43" s="1">
        <v>2023</v>
      </c>
      <c r="K43" s="44">
        <v>23.2</v>
      </c>
      <c r="L43" s="48">
        <f t="shared" si="8"/>
        <v>0.2857142857142857</v>
      </c>
      <c r="M43" s="11">
        <f t="shared" si="9"/>
        <v>0</v>
      </c>
      <c r="N43" s="11">
        <f t="shared" si="10"/>
        <v>0.7142857142857143</v>
      </c>
      <c r="O43" s="12">
        <f t="shared" si="11"/>
        <v>4634.8157142857144</v>
      </c>
      <c r="P43" s="9" t="str">
        <f t="shared" si="12"/>
        <v>Low GDP</v>
      </c>
      <c r="Q43" s="14" t="str">
        <f t="shared" si="13"/>
        <v>Low performer</v>
      </c>
      <c r="R43" s="8"/>
      <c r="S43" s="8"/>
      <c r="T43" s="8"/>
      <c r="U43" s="8"/>
      <c r="V43" s="8"/>
      <c r="W43" s="8"/>
      <c r="X43" s="8"/>
    </row>
    <row r="44" spans="1:24" x14ac:dyDescent="0.25">
      <c r="A44" s="13" t="s">
        <v>64</v>
      </c>
      <c r="B44" s="1" t="s">
        <v>65</v>
      </c>
      <c r="C44" s="1" t="s">
        <v>5</v>
      </c>
      <c r="D44" s="44">
        <v>2</v>
      </c>
      <c r="E44" s="1">
        <v>2</v>
      </c>
      <c r="F44" s="1">
        <v>3</v>
      </c>
      <c r="G44" s="44">
        <v>7</v>
      </c>
      <c r="H44" s="9" t="str">
        <f t="shared" si="7"/>
        <v>Needs improvement</v>
      </c>
      <c r="I44" s="44">
        <v>7155.08</v>
      </c>
      <c r="J44" s="1">
        <v>2023</v>
      </c>
      <c r="K44" s="44">
        <v>10.1</v>
      </c>
      <c r="L44" s="48">
        <f t="shared" si="8"/>
        <v>0.2857142857142857</v>
      </c>
      <c r="M44" s="11">
        <f t="shared" si="9"/>
        <v>0.2857142857142857</v>
      </c>
      <c r="N44" s="11">
        <f t="shared" si="10"/>
        <v>0.42857142857142855</v>
      </c>
      <c r="O44" s="12">
        <f t="shared" si="11"/>
        <v>1022.1542857142857</v>
      </c>
      <c r="P44" s="9" t="str">
        <f t="shared" si="12"/>
        <v>Low GDP</v>
      </c>
      <c r="Q44" s="14" t="str">
        <f t="shared" si="13"/>
        <v>Low performer</v>
      </c>
      <c r="R44" s="8"/>
      <c r="S44" s="8"/>
      <c r="T44" s="8"/>
      <c r="U44" s="8"/>
      <c r="V44" s="8"/>
      <c r="W44" s="8"/>
      <c r="X44" s="8"/>
    </row>
    <row r="45" spans="1:24" x14ac:dyDescent="0.25">
      <c r="A45" s="13" t="s">
        <v>66</v>
      </c>
      <c r="B45" s="1" t="s">
        <v>67</v>
      </c>
      <c r="C45" s="1" t="s">
        <v>13</v>
      </c>
      <c r="D45" s="44">
        <v>2</v>
      </c>
      <c r="E45" s="1">
        <v>2</v>
      </c>
      <c r="F45" s="1">
        <v>3</v>
      </c>
      <c r="G45" s="44">
        <v>7</v>
      </c>
      <c r="H45" s="9" t="str">
        <f t="shared" si="7"/>
        <v>Needs improvement</v>
      </c>
      <c r="I45" s="44">
        <v>21459.78</v>
      </c>
      <c r="J45" s="1">
        <v>2023</v>
      </c>
      <c r="K45" s="44">
        <v>3.9</v>
      </c>
      <c r="L45" s="48">
        <f t="shared" si="8"/>
        <v>0.2857142857142857</v>
      </c>
      <c r="M45" s="11">
        <f t="shared" si="9"/>
        <v>0.2857142857142857</v>
      </c>
      <c r="N45" s="11">
        <f t="shared" si="10"/>
        <v>0.42857142857142855</v>
      </c>
      <c r="O45" s="12">
        <f t="shared" si="11"/>
        <v>3065.6828571428568</v>
      </c>
      <c r="P45" s="9" t="str">
        <f t="shared" si="12"/>
        <v>Low GDP</v>
      </c>
      <c r="Q45" s="14" t="str">
        <f t="shared" si="13"/>
        <v>Low performer</v>
      </c>
      <c r="R45" s="8"/>
      <c r="S45" s="8"/>
      <c r="T45" s="8"/>
      <c r="U45" s="8"/>
      <c r="V45" s="8"/>
      <c r="W45" s="8"/>
      <c r="X45" s="8"/>
    </row>
    <row r="46" spans="1:24" x14ac:dyDescent="0.25">
      <c r="A46" s="13" t="s">
        <v>32</v>
      </c>
      <c r="B46" s="1" t="s">
        <v>33</v>
      </c>
      <c r="C46" s="1" t="s">
        <v>13</v>
      </c>
      <c r="D46" s="44">
        <v>5</v>
      </c>
      <c r="E46" s="1">
        <v>4</v>
      </c>
      <c r="F46" s="1">
        <v>9</v>
      </c>
      <c r="G46" s="44">
        <v>18</v>
      </c>
      <c r="H46" s="9" t="str">
        <f t="shared" si="7"/>
        <v>Needs improvement</v>
      </c>
      <c r="I46" s="44">
        <v>32676.98</v>
      </c>
      <c r="J46" s="1">
        <v>2023</v>
      </c>
      <c r="K46" s="44">
        <v>48.4</v>
      </c>
      <c r="L46" s="48">
        <f t="shared" si="8"/>
        <v>0.27777777777777779</v>
      </c>
      <c r="M46" s="11">
        <f t="shared" si="9"/>
        <v>0.22222222222222221</v>
      </c>
      <c r="N46" s="11">
        <f t="shared" si="10"/>
        <v>0.5</v>
      </c>
      <c r="O46" s="12">
        <f t="shared" si="11"/>
        <v>1815.3877777777777</v>
      </c>
      <c r="P46" s="9" t="str">
        <f t="shared" si="12"/>
        <v>Low GDP</v>
      </c>
      <c r="Q46" s="14" t="str">
        <f t="shared" si="13"/>
        <v>Low performer</v>
      </c>
      <c r="R46" s="8"/>
      <c r="S46" s="8"/>
      <c r="T46" s="8"/>
      <c r="U46" s="8"/>
      <c r="V46" s="8"/>
      <c r="W46" s="8"/>
      <c r="X46" s="8"/>
    </row>
    <row r="47" spans="1:24" x14ac:dyDescent="0.25">
      <c r="A47" s="13" t="s">
        <v>98</v>
      </c>
      <c r="B47" s="1" t="s">
        <v>99</v>
      </c>
      <c r="C47" s="1" t="s">
        <v>38</v>
      </c>
      <c r="D47" s="44">
        <v>1</v>
      </c>
      <c r="E47" s="1">
        <v>3</v>
      </c>
      <c r="F47" s="1">
        <v>0</v>
      </c>
      <c r="G47" s="44">
        <v>4</v>
      </c>
      <c r="H47" s="9" t="str">
        <f t="shared" si="7"/>
        <v>Needs improvement</v>
      </c>
      <c r="I47" s="44">
        <v>1293.78</v>
      </c>
      <c r="J47" s="1">
        <v>2023</v>
      </c>
      <c r="K47" s="44">
        <v>126.5</v>
      </c>
      <c r="L47" s="48">
        <f t="shared" si="8"/>
        <v>0.25</v>
      </c>
      <c r="M47" s="11">
        <f t="shared" si="9"/>
        <v>0.75</v>
      </c>
      <c r="N47" s="11">
        <f t="shared" si="10"/>
        <v>0</v>
      </c>
      <c r="O47" s="12">
        <f t="shared" si="11"/>
        <v>323.44499999999999</v>
      </c>
      <c r="P47" s="9" t="str">
        <f t="shared" si="12"/>
        <v>Low GDP</v>
      </c>
      <c r="Q47" s="14" t="str">
        <f t="shared" si="13"/>
        <v>Low performer</v>
      </c>
      <c r="R47" s="8"/>
      <c r="S47" s="8"/>
      <c r="T47" s="8"/>
      <c r="U47" s="8"/>
      <c r="V47" s="8"/>
      <c r="W47" s="8"/>
      <c r="X47" s="8"/>
    </row>
    <row r="48" spans="1:24" x14ac:dyDescent="0.25">
      <c r="A48" s="13" t="s">
        <v>46</v>
      </c>
      <c r="B48" s="1" t="s">
        <v>47</v>
      </c>
      <c r="C48" s="1" t="s">
        <v>5</v>
      </c>
      <c r="D48" s="44">
        <v>3</v>
      </c>
      <c r="E48" s="1">
        <v>6</v>
      </c>
      <c r="F48" s="1">
        <v>3</v>
      </c>
      <c r="G48" s="44">
        <v>12</v>
      </c>
      <c r="H48" s="9" t="str">
        <f t="shared" si="7"/>
        <v>Needs improvement</v>
      </c>
      <c r="I48" s="44">
        <v>4502.55</v>
      </c>
      <c r="J48" s="1">
        <v>2023</v>
      </c>
      <c r="K48" s="44">
        <v>89.2</v>
      </c>
      <c r="L48" s="48">
        <f t="shared" si="8"/>
        <v>0.25</v>
      </c>
      <c r="M48" s="11">
        <f t="shared" si="9"/>
        <v>0.5</v>
      </c>
      <c r="N48" s="11">
        <f t="shared" si="10"/>
        <v>0.25</v>
      </c>
      <c r="O48" s="12">
        <f t="shared" si="11"/>
        <v>375.21250000000003</v>
      </c>
      <c r="P48" s="9" t="str">
        <f t="shared" si="12"/>
        <v>Low GDP</v>
      </c>
      <c r="Q48" s="14" t="str">
        <f t="shared" si="13"/>
        <v>Low performer</v>
      </c>
      <c r="R48" s="8"/>
      <c r="S48" s="8"/>
      <c r="T48" s="8"/>
      <c r="U48" s="8"/>
      <c r="V48" s="8"/>
      <c r="W48" s="8"/>
      <c r="X48" s="8"/>
    </row>
    <row r="49" spans="1:24" x14ac:dyDescent="0.25">
      <c r="A49" s="13" t="s">
        <v>11</v>
      </c>
      <c r="B49" s="1" t="s">
        <v>12</v>
      </c>
      <c r="C49" s="1" t="s">
        <v>13</v>
      </c>
      <c r="D49" s="44">
        <v>16</v>
      </c>
      <c r="E49" s="1">
        <v>26</v>
      </c>
      <c r="F49" s="1">
        <v>22</v>
      </c>
      <c r="G49" s="44">
        <v>64</v>
      </c>
      <c r="H49" s="9" t="str">
        <f t="shared" si="7"/>
        <v>Needs improvement</v>
      </c>
      <c r="I49" s="44">
        <v>44460.82</v>
      </c>
      <c r="J49" s="1">
        <v>2023</v>
      </c>
      <c r="K49" s="44">
        <v>68.2</v>
      </c>
      <c r="L49" s="48">
        <f t="shared" si="8"/>
        <v>0.25</v>
      </c>
      <c r="M49" s="11">
        <f t="shared" si="9"/>
        <v>0.40625</v>
      </c>
      <c r="N49" s="11">
        <f t="shared" si="10"/>
        <v>0.34375</v>
      </c>
      <c r="O49" s="12">
        <f t="shared" si="11"/>
        <v>694.7003125</v>
      </c>
      <c r="P49" s="9" t="str">
        <f t="shared" si="12"/>
        <v>Low GDP</v>
      </c>
      <c r="Q49" s="14" t="str">
        <f t="shared" si="13"/>
        <v>Low performer</v>
      </c>
      <c r="R49" s="8"/>
      <c r="S49" s="8"/>
      <c r="T49" s="8"/>
      <c r="U49" s="8"/>
      <c r="V49" s="8"/>
      <c r="W49" s="8"/>
      <c r="X49" s="8"/>
    </row>
    <row r="50" spans="1:24" x14ac:dyDescent="0.25">
      <c r="A50" s="13" t="s">
        <v>48</v>
      </c>
      <c r="B50" s="1" t="s">
        <v>49</v>
      </c>
      <c r="C50" s="1" t="s">
        <v>13</v>
      </c>
      <c r="D50" s="44">
        <v>3</v>
      </c>
      <c r="E50" s="1">
        <v>5</v>
      </c>
      <c r="F50" s="1">
        <v>4</v>
      </c>
      <c r="G50" s="44">
        <v>12</v>
      </c>
      <c r="H50" s="9" t="str">
        <f t="shared" si="7"/>
        <v>Needs improvement</v>
      </c>
      <c r="I50" s="44">
        <v>5181.3599999999997</v>
      </c>
      <c r="J50" s="1">
        <v>2023</v>
      </c>
      <c r="K50" s="44">
        <v>37</v>
      </c>
      <c r="L50" s="48">
        <f t="shared" si="8"/>
        <v>0.25</v>
      </c>
      <c r="M50" s="11">
        <f t="shared" si="9"/>
        <v>0.41666666666666669</v>
      </c>
      <c r="N50" s="11">
        <f t="shared" si="10"/>
        <v>0.33333333333333331</v>
      </c>
      <c r="O50" s="12">
        <f t="shared" si="11"/>
        <v>431.78</v>
      </c>
      <c r="P50" s="9" t="str">
        <f t="shared" si="12"/>
        <v>Low GDP</v>
      </c>
      <c r="Q50" s="14" t="str">
        <f t="shared" si="13"/>
        <v>Low performer</v>
      </c>
      <c r="R50" s="8"/>
      <c r="S50" s="8"/>
      <c r="T50" s="8"/>
      <c r="U50" s="8"/>
      <c r="V50" s="8"/>
      <c r="W50" s="8"/>
      <c r="X50" s="8"/>
    </row>
    <row r="51" spans="1:24" x14ac:dyDescent="0.25">
      <c r="A51" s="13" t="s">
        <v>104</v>
      </c>
      <c r="B51" s="1" t="s">
        <v>105</v>
      </c>
      <c r="C51" s="1" t="s">
        <v>13</v>
      </c>
      <c r="D51" s="44">
        <v>1</v>
      </c>
      <c r="E51" s="1">
        <v>2</v>
      </c>
      <c r="F51" s="1">
        <v>1</v>
      </c>
      <c r="G51" s="44">
        <v>4</v>
      </c>
      <c r="H51" s="9" t="str">
        <f t="shared" si="7"/>
        <v>Needs improvement</v>
      </c>
      <c r="I51" s="44">
        <v>27275.11</v>
      </c>
      <c r="J51" s="1">
        <v>2023</v>
      </c>
      <c r="K51" s="44">
        <v>10.5</v>
      </c>
      <c r="L51" s="48">
        <f t="shared" si="8"/>
        <v>0.25</v>
      </c>
      <c r="M51" s="11">
        <f t="shared" si="9"/>
        <v>0.5</v>
      </c>
      <c r="N51" s="11">
        <f t="shared" si="10"/>
        <v>0.25</v>
      </c>
      <c r="O51" s="12">
        <f t="shared" si="11"/>
        <v>6818.7775000000001</v>
      </c>
      <c r="P51" s="9" t="str">
        <f t="shared" si="12"/>
        <v>Low GDP</v>
      </c>
      <c r="Q51" s="14" t="str">
        <f t="shared" si="13"/>
        <v>Low performer</v>
      </c>
      <c r="R51" s="8"/>
      <c r="S51" s="8"/>
      <c r="T51" s="8"/>
      <c r="U51" s="8"/>
      <c r="V51" s="8"/>
      <c r="W51" s="8"/>
      <c r="X51" s="8"/>
    </row>
    <row r="52" spans="1:24" x14ac:dyDescent="0.25">
      <c r="A52" s="13" t="s">
        <v>68</v>
      </c>
      <c r="B52" s="1" t="s">
        <v>69</v>
      </c>
      <c r="C52" s="1" t="s">
        <v>2</v>
      </c>
      <c r="D52" s="44">
        <v>2</v>
      </c>
      <c r="E52" s="1">
        <v>1</v>
      </c>
      <c r="F52" s="1">
        <v>6</v>
      </c>
      <c r="G52" s="44">
        <v>9</v>
      </c>
      <c r="H52" s="9" t="str">
        <f t="shared" si="7"/>
        <v>Needs improvement</v>
      </c>
      <c r="I52" s="44">
        <v>56495.85</v>
      </c>
      <c r="J52" s="1">
        <v>2022</v>
      </c>
      <c r="K52" s="44">
        <v>11.2</v>
      </c>
      <c r="L52" s="48">
        <f t="shared" si="8"/>
        <v>0.22222222222222221</v>
      </c>
      <c r="M52" s="11">
        <f t="shared" si="9"/>
        <v>0.1111111111111111</v>
      </c>
      <c r="N52" s="11">
        <f t="shared" si="10"/>
        <v>0.66666666666666663</v>
      </c>
      <c r="O52" s="12">
        <f t="shared" si="11"/>
        <v>6277.3166666666666</v>
      </c>
      <c r="P52" s="9" t="str">
        <f t="shared" si="12"/>
        <v>High GDP</v>
      </c>
      <c r="Q52" s="14" t="str">
        <f t="shared" si="13"/>
        <v>Low performer</v>
      </c>
      <c r="R52" s="8"/>
      <c r="S52" s="8"/>
      <c r="T52" s="8"/>
      <c r="U52" s="8"/>
      <c r="V52" s="8"/>
      <c r="W52" s="8"/>
      <c r="X52" s="8"/>
    </row>
    <row r="53" spans="1:24" x14ac:dyDescent="0.25">
      <c r="A53" s="13" t="s">
        <v>62</v>
      </c>
      <c r="B53" s="1" t="s">
        <v>63</v>
      </c>
      <c r="C53" s="1" t="s">
        <v>13</v>
      </c>
      <c r="D53" s="44">
        <v>2</v>
      </c>
      <c r="E53" s="1">
        <v>2</v>
      </c>
      <c r="F53" s="1">
        <v>5</v>
      </c>
      <c r="G53" s="44">
        <v>9</v>
      </c>
      <c r="H53" s="9" t="str">
        <f t="shared" si="7"/>
        <v>Needs improvement</v>
      </c>
      <c r="I53" s="44">
        <v>67967.38</v>
      </c>
      <c r="J53" s="1">
        <v>2023</v>
      </c>
      <c r="K53" s="44">
        <v>5.9</v>
      </c>
      <c r="L53" s="48">
        <f t="shared" si="8"/>
        <v>0.22222222222222221</v>
      </c>
      <c r="M53" s="11">
        <f t="shared" si="9"/>
        <v>0.22222222222222221</v>
      </c>
      <c r="N53" s="11">
        <f t="shared" si="10"/>
        <v>0.55555555555555558</v>
      </c>
      <c r="O53" s="12">
        <f t="shared" si="11"/>
        <v>7551.9311111111119</v>
      </c>
      <c r="P53" s="9" t="str">
        <f t="shared" si="12"/>
        <v>High GDP</v>
      </c>
      <c r="Q53" s="14" t="str">
        <f t="shared" si="13"/>
        <v>Low performer</v>
      </c>
      <c r="R53" s="8"/>
      <c r="S53" s="8"/>
      <c r="T53" s="8"/>
      <c r="U53" s="8"/>
      <c r="V53" s="8"/>
      <c r="W53" s="8"/>
      <c r="X53" s="8"/>
    </row>
    <row r="54" spans="1:24" x14ac:dyDescent="0.25">
      <c r="A54" s="13" t="s">
        <v>16</v>
      </c>
      <c r="B54" s="1" t="s">
        <v>17</v>
      </c>
      <c r="C54" s="1" t="s">
        <v>13</v>
      </c>
      <c r="D54" s="44">
        <v>14</v>
      </c>
      <c r="E54" s="1">
        <v>22</v>
      </c>
      <c r="F54" s="1">
        <v>29</v>
      </c>
      <c r="G54" s="44">
        <v>65</v>
      </c>
      <c r="H54" s="9" t="str">
        <f t="shared" si="7"/>
        <v>Needs improvement</v>
      </c>
      <c r="I54" s="44">
        <v>48866.6</v>
      </c>
      <c r="J54" s="1">
        <v>2023</v>
      </c>
      <c r="K54" s="44">
        <v>68.3</v>
      </c>
      <c r="L54" s="48">
        <f t="shared" si="8"/>
        <v>0.2153846153846154</v>
      </c>
      <c r="M54" s="11">
        <f t="shared" si="9"/>
        <v>0.33846153846153848</v>
      </c>
      <c r="N54" s="11">
        <f t="shared" si="10"/>
        <v>0.44615384615384618</v>
      </c>
      <c r="O54" s="12">
        <f t="shared" si="11"/>
        <v>751.79384615384618</v>
      </c>
      <c r="P54" s="9" t="str">
        <f t="shared" si="12"/>
        <v>Low GDP</v>
      </c>
      <c r="Q54" s="14" t="str">
        <f t="shared" si="13"/>
        <v>Low performer</v>
      </c>
      <c r="R54" s="8"/>
      <c r="S54" s="8"/>
      <c r="T54" s="8"/>
      <c r="U54" s="8"/>
      <c r="V54" s="8"/>
      <c r="W54" s="8"/>
      <c r="X54" s="8"/>
    </row>
    <row r="55" spans="1:24" x14ac:dyDescent="0.25">
      <c r="A55" s="13" t="s">
        <v>102</v>
      </c>
      <c r="B55" s="1" t="s">
        <v>103</v>
      </c>
      <c r="C55" s="1" t="s">
        <v>45</v>
      </c>
      <c r="D55" s="44">
        <v>1</v>
      </c>
      <c r="E55" s="1">
        <v>2</v>
      </c>
      <c r="F55" s="1">
        <v>2</v>
      </c>
      <c r="G55" s="44">
        <v>5</v>
      </c>
      <c r="H55" s="9" t="str">
        <f t="shared" si="7"/>
        <v>Needs improvement</v>
      </c>
      <c r="I55" s="44">
        <v>6533.35</v>
      </c>
      <c r="J55" s="1">
        <v>2023</v>
      </c>
      <c r="K55" s="44">
        <v>18.2</v>
      </c>
      <c r="L55" s="48">
        <f t="shared" si="8"/>
        <v>0.2</v>
      </c>
      <c r="M55" s="11">
        <f t="shared" si="9"/>
        <v>0.4</v>
      </c>
      <c r="N55" s="11">
        <f t="shared" si="10"/>
        <v>0.4</v>
      </c>
      <c r="O55" s="12">
        <f t="shared" si="11"/>
        <v>1306.67</v>
      </c>
      <c r="P55" s="9" t="str">
        <f t="shared" si="12"/>
        <v>Low GDP</v>
      </c>
      <c r="Q55" s="14" t="str">
        <f t="shared" si="13"/>
        <v>Low performer</v>
      </c>
      <c r="R55" s="8"/>
      <c r="S55" s="8"/>
      <c r="T55" s="8"/>
      <c r="U55" s="8"/>
      <c r="V55" s="8"/>
      <c r="W55" s="8"/>
      <c r="X55" s="8"/>
    </row>
    <row r="56" spans="1:24" x14ac:dyDescent="0.25">
      <c r="A56" s="13" t="s">
        <v>96</v>
      </c>
      <c r="B56" s="1" t="s">
        <v>97</v>
      </c>
      <c r="C56" s="1" t="s">
        <v>5</v>
      </c>
      <c r="D56" s="44">
        <v>1</v>
      </c>
      <c r="E56" s="1">
        <v>3</v>
      </c>
      <c r="F56" s="1">
        <v>2</v>
      </c>
      <c r="G56" s="44">
        <v>6</v>
      </c>
      <c r="H56" s="9" t="str">
        <f t="shared" si="7"/>
        <v>Needs improvement</v>
      </c>
      <c r="I56" s="44">
        <v>7171.81</v>
      </c>
      <c r="J56" s="1">
        <v>2023</v>
      </c>
      <c r="K56" s="44">
        <v>71.8</v>
      </c>
      <c r="L56" s="48">
        <f t="shared" si="8"/>
        <v>0.16666666666666666</v>
      </c>
      <c r="M56" s="11">
        <f t="shared" si="9"/>
        <v>0.5</v>
      </c>
      <c r="N56" s="11">
        <f t="shared" si="10"/>
        <v>0.33333333333333331</v>
      </c>
      <c r="O56" s="12">
        <f t="shared" si="11"/>
        <v>1195.3016666666667</v>
      </c>
      <c r="P56" s="9" t="str">
        <f t="shared" si="12"/>
        <v>Low GDP</v>
      </c>
      <c r="Q56" s="14" t="str">
        <f t="shared" si="13"/>
        <v>Low performer</v>
      </c>
      <c r="R56" s="8"/>
      <c r="S56" s="8"/>
      <c r="T56" s="8"/>
      <c r="U56" s="8"/>
      <c r="V56" s="8"/>
      <c r="W56" s="8"/>
      <c r="X56" s="8"/>
    </row>
    <row r="57" spans="1:24" x14ac:dyDescent="0.25">
      <c r="A57" s="13" t="s">
        <v>94</v>
      </c>
      <c r="B57" s="1" t="s">
        <v>95</v>
      </c>
      <c r="C57" s="1" t="s">
        <v>38</v>
      </c>
      <c r="D57" s="44">
        <v>1</v>
      </c>
      <c r="E57" s="1">
        <v>3</v>
      </c>
      <c r="F57" s="1">
        <v>2</v>
      </c>
      <c r="G57" s="44">
        <v>6</v>
      </c>
      <c r="H57" s="9" t="str">
        <f t="shared" si="7"/>
        <v>Needs improvement</v>
      </c>
      <c r="I57" s="44">
        <v>6253.16</v>
      </c>
      <c r="J57" s="1">
        <v>2023</v>
      </c>
      <c r="K57" s="44">
        <v>60.4</v>
      </c>
      <c r="L57" s="48">
        <f t="shared" si="8"/>
        <v>0.16666666666666666</v>
      </c>
      <c r="M57" s="11">
        <f t="shared" si="9"/>
        <v>0.5</v>
      </c>
      <c r="N57" s="11">
        <f t="shared" si="10"/>
        <v>0.33333333333333331</v>
      </c>
      <c r="O57" s="12">
        <f t="shared" si="11"/>
        <v>1042.1933333333334</v>
      </c>
      <c r="P57" s="9" t="str">
        <f t="shared" si="12"/>
        <v>Low GDP</v>
      </c>
      <c r="Q57" s="14" t="str">
        <f t="shared" si="13"/>
        <v>Low performer</v>
      </c>
      <c r="R57" s="8"/>
      <c r="S57" s="8"/>
      <c r="T57" s="8"/>
      <c r="U57" s="8"/>
      <c r="V57" s="8"/>
      <c r="W57" s="8"/>
      <c r="X57" s="8"/>
    </row>
    <row r="58" spans="1:24" x14ac:dyDescent="0.25">
      <c r="A58" s="13" t="s">
        <v>92</v>
      </c>
      <c r="B58" s="1" t="s">
        <v>93</v>
      </c>
      <c r="C58" s="1" t="s">
        <v>2</v>
      </c>
      <c r="D58" s="44">
        <v>1</v>
      </c>
      <c r="E58" s="1">
        <v>3</v>
      </c>
      <c r="F58" s="1">
        <v>2</v>
      </c>
      <c r="G58" s="44">
        <v>6</v>
      </c>
      <c r="H58" s="9" t="str">
        <f t="shared" si="7"/>
        <v>Needs improvement</v>
      </c>
      <c r="I58" s="44">
        <v>6874.2</v>
      </c>
      <c r="J58" s="1">
        <v>2023</v>
      </c>
      <c r="K58" s="44">
        <v>2.8</v>
      </c>
      <c r="L58" s="48">
        <f t="shared" si="8"/>
        <v>0.16666666666666666</v>
      </c>
      <c r="M58" s="11">
        <f t="shared" si="9"/>
        <v>0.5</v>
      </c>
      <c r="N58" s="11">
        <f t="shared" si="10"/>
        <v>0.33333333333333331</v>
      </c>
      <c r="O58" s="12">
        <f t="shared" si="11"/>
        <v>1145.7</v>
      </c>
      <c r="P58" s="9" t="str">
        <f t="shared" si="12"/>
        <v>Low GDP</v>
      </c>
      <c r="Q58" s="14" t="str">
        <f t="shared" si="13"/>
        <v>Low performer</v>
      </c>
      <c r="R58" s="8"/>
      <c r="S58" s="8"/>
      <c r="T58" s="8"/>
      <c r="U58" s="8"/>
      <c r="V58" s="8"/>
      <c r="W58" s="8"/>
      <c r="X58" s="8"/>
    </row>
    <row r="59" spans="1:24" x14ac:dyDescent="0.25">
      <c r="A59" s="13" t="s">
        <v>43</v>
      </c>
      <c r="B59" s="1" t="s">
        <v>44</v>
      </c>
      <c r="C59" s="1" t="s">
        <v>45</v>
      </c>
      <c r="D59" s="44">
        <v>3</v>
      </c>
      <c r="E59" s="1">
        <v>7</v>
      </c>
      <c r="F59" s="1">
        <v>10</v>
      </c>
      <c r="G59" s="44">
        <v>20</v>
      </c>
      <c r="H59" s="9" t="str">
        <f t="shared" si="7"/>
        <v>Needs improvement</v>
      </c>
      <c r="I59" s="44">
        <v>10043.620000000001</v>
      </c>
      <c r="J59" s="1">
        <v>2023</v>
      </c>
      <c r="K59" s="44">
        <v>216.4</v>
      </c>
      <c r="L59" s="48">
        <f t="shared" si="8"/>
        <v>0.15</v>
      </c>
      <c r="M59" s="11">
        <f t="shared" si="9"/>
        <v>0.35</v>
      </c>
      <c r="N59" s="11">
        <f t="shared" si="10"/>
        <v>0.5</v>
      </c>
      <c r="O59" s="12">
        <f t="shared" si="11"/>
        <v>502.18100000000004</v>
      </c>
      <c r="P59" s="9" t="str">
        <f t="shared" si="12"/>
        <v>Low GDP</v>
      </c>
      <c r="Q59" s="14" t="str">
        <f t="shared" si="13"/>
        <v>Low performer</v>
      </c>
      <c r="R59" s="8"/>
      <c r="S59" s="8"/>
      <c r="T59" s="8"/>
      <c r="U59" s="8"/>
      <c r="V59" s="8"/>
      <c r="W59" s="8"/>
      <c r="X59" s="8"/>
    </row>
    <row r="60" spans="1:24" x14ac:dyDescent="0.25">
      <c r="A60" s="13" t="s">
        <v>90</v>
      </c>
      <c r="B60" s="1" t="s">
        <v>91</v>
      </c>
      <c r="C60" s="1" t="s">
        <v>5</v>
      </c>
      <c r="D60" s="44">
        <v>1</v>
      </c>
      <c r="E60" s="1">
        <v>3</v>
      </c>
      <c r="F60" s="1">
        <v>3</v>
      </c>
      <c r="G60" s="44">
        <v>7</v>
      </c>
      <c r="H60" s="9" t="str">
        <f t="shared" si="7"/>
        <v>Needs improvement</v>
      </c>
      <c r="I60" s="44">
        <v>13136.62</v>
      </c>
      <c r="J60" s="1">
        <v>2023</v>
      </c>
      <c r="K60" s="44">
        <v>19.899999999999999</v>
      </c>
      <c r="L60" s="48">
        <f t="shared" si="8"/>
        <v>0.14285714285714285</v>
      </c>
      <c r="M60" s="11">
        <f t="shared" si="9"/>
        <v>0.42857142857142855</v>
      </c>
      <c r="N60" s="11">
        <f t="shared" si="10"/>
        <v>0.42857142857142855</v>
      </c>
      <c r="O60" s="12">
        <f t="shared" si="11"/>
        <v>1876.66</v>
      </c>
      <c r="P60" s="9" t="str">
        <f t="shared" si="12"/>
        <v>Low GDP</v>
      </c>
      <c r="Q60" s="14" t="str">
        <f t="shared" si="13"/>
        <v>Low performer</v>
      </c>
      <c r="R60" s="8"/>
      <c r="S60" s="8"/>
      <c r="T60" s="8"/>
      <c r="U60" s="8"/>
      <c r="V60" s="8"/>
      <c r="W60" s="8"/>
      <c r="X60" s="8"/>
    </row>
    <row r="61" spans="1:24" x14ac:dyDescent="0.25">
      <c r="A61" s="13" t="s">
        <v>86</v>
      </c>
      <c r="B61" s="1" t="s">
        <v>87</v>
      </c>
      <c r="C61" s="1" t="s">
        <v>5</v>
      </c>
      <c r="D61" s="44">
        <v>1</v>
      </c>
      <c r="E61" s="1">
        <v>5</v>
      </c>
      <c r="F61" s="1">
        <v>1</v>
      </c>
      <c r="G61" s="44">
        <v>7</v>
      </c>
      <c r="H61" s="9" t="str">
        <f t="shared" si="7"/>
        <v>Needs improvement</v>
      </c>
      <c r="I61" s="44">
        <v>52261.68</v>
      </c>
      <c r="J61" s="1">
        <v>2023</v>
      </c>
      <c r="K61" s="44">
        <v>9.8000000000000007</v>
      </c>
      <c r="L61" s="48">
        <f t="shared" si="8"/>
        <v>0.14285714285714285</v>
      </c>
      <c r="M61" s="11">
        <f t="shared" si="9"/>
        <v>0.7142857142857143</v>
      </c>
      <c r="N61" s="11">
        <f t="shared" si="10"/>
        <v>0.14285714285714285</v>
      </c>
      <c r="O61" s="12">
        <f t="shared" si="11"/>
        <v>7465.954285714286</v>
      </c>
      <c r="P61" s="9" t="str">
        <f t="shared" si="12"/>
        <v>High GDP</v>
      </c>
      <c r="Q61" s="14" t="str">
        <f t="shared" si="13"/>
        <v>Low performer</v>
      </c>
      <c r="R61" s="8"/>
      <c r="S61" s="8"/>
      <c r="T61" s="8"/>
      <c r="U61" s="8"/>
      <c r="V61" s="8"/>
      <c r="W61" s="8"/>
      <c r="X61" s="8"/>
    </row>
    <row r="62" spans="1:24" x14ac:dyDescent="0.25">
      <c r="A62" s="13" t="s">
        <v>106</v>
      </c>
      <c r="B62" s="1" t="s">
        <v>107</v>
      </c>
      <c r="C62" s="1" t="s">
        <v>13</v>
      </c>
      <c r="D62" s="44">
        <v>1</v>
      </c>
      <c r="E62" s="1">
        <v>1</v>
      </c>
      <c r="F62" s="1">
        <v>6</v>
      </c>
      <c r="G62" s="44">
        <v>8</v>
      </c>
      <c r="H62" s="9" t="str">
        <f t="shared" si="7"/>
        <v>Needs improvement</v>
      </c>
      <c r="I62" s="44">
        <v>22990.01</v>
      </c>
      <c r="J62" s="1">
        <v>2023</v>
      </c>
      <c r="K62" s="44">
        <v>10.4</v>
      </c>
      <c r="L62" s="48">
        <f t="shared" si="8"/>
        <v>0.125</v>
      </c>
      <c r="M62" s="11">
        <f t="shared" si="9"/>
        <v>0.125</v>
      </c>
      <c r="N62" s="11">
        <f t="shared" si="10"/>
        <v>0.75</v>
      </c>
      <c r="O62" s="12">
        <f t="shared" si="11"/>
        <v>2873.7512499999998</v>
      </c>
      <c r="P62" s="9" t="str">
        <f t="shared" si="12"/>
        <v>Low GDP</v>
      </c>
      <c r="Q62" s="14" t="str">
        <f t="shared" si="13"/>
        <v>Low performer</v>
      </c>
      <c r="R62" s="8"/>
      <c r="S62" s="8"/>
      <c r="T62" s="8"/>
      <c r="U62" s="8"/>
      <c r="V62" s="8"/>
      <c r="W62" s="8"/>
      <c r="X62" s="8"/>
    </row>
    <row r="63" spans="1:24" x14ac:dyDescent="0.25">
      <c r="A63" s="13" t="s">
        <v>100</v>
      </c>
      <c r="B63" s="1" t="s">
        <v>101</v>
      </c>
      <c r="C63" s="1" t="s">
        <v>13</v>
      </c>
      <c r="D63" s="44">
        <v>1</v>
      </c>
      <c r="E63" s="1">
        <v>2</v>
      </c>
      <c r="F63" s="1">
        <v>5</v>
      </c>
      <c r="G63" s="44">
        <v>8</v>
      </c>
      <c r="H63" s="9" t="str">
        <f t="shared" si="7"/>
        <v>Needs improvement</v>
      </c>
      <c r="I63" s="44">
        <v>99994.94</v>
      </c>
      <c r="J63" s="1">
        <v>2023</v>
      </c>
      <c r="K63" s="44">
        <v>8.8000000000000007</v>
      </c>
      <c r="L63" s="48">
        <f t="shared" si="8"/>
        <v>0.125</v>
      </c>
      <c r="M63" s="11">
        <f t="shared" si="9"/>
        <v>0.25</v>
      </c>
      <c r="N63" s="11">
        <f t="shared" si="10"/>
        <v>0.625</v>
      </c>
      <c r="O63" s="12">
        <f t="shared" si="11"/>
        <v>12499.3675</v>
      </c>
      <c r="P63" s="9" t="str">
        <f t="shared" si="12"/>
        <v>High GDP</v>
      </c>
      <c r="Q63" s="14" t="str">
        <f t="shared" si="13"/>
        <v>Low performer</v>
      </c>
      <c r="R63" s="8"/>
      <c r="S63" s="8"/>
      <c r="T63" s="8"/>
      <c r="U63" s="8"/>
      <c r="V63" s="8"/>
      <c r="W63" s="8"/>
      <c r="X63" s="8"/>
    </row>
    <row r="64" spans="1:24" x14ac:dyDescent="0.25">
      <c r="A64" s="13" t="s">
        <v>88</v>
      </c>
      <c r="B64" s="1" t="s">
        <v>89</v>
      </c>
      <c r="C64" s="1" t="s">
        <v>13</v>
      </c>
      <c r="D64" s="44">
        <v>1</v>
      </c>
      <c r="E64" s="1">
        <v>4</v>
      </c>
      <c r="F64" s="1">
        <v>5</v>
      </c>
      <c r="G64" s="44">
        <v>10</v>
      </c>
      <c r="H64" s="9" t="str">
        <f t="shared" si="7"/>
        <v>Needs improvement</v>
      </c>
      <c r="I64" s="44">
        <v>22112.86</v>
      </c>
      <c r="J64" s="1">
        <v>2023</v>
      </c>
      <c r="K64" s="44">
        <v>36.700000000000003</v>
      </c>
      <c r="L64" s="48">
        <f t="shared" si="8"/>
        <v>0.1</v>
      </c>
      <c r="M64" s="11">
        <f t="shared" si="9"/>
        <v>0.4</v>
      </c>
      <c r="N64" s="11">
        <f t="shared" si="10"/>
        <v>0.5</v>
      </c>
      <c r="O64" s="12">
        <f t="shared" si="11"/>
        <v>2211.2860000000001</v>
      </c>
      <c r="P64" s="9" t="str">
        <f t="shared" si="12"/>
        <v>Low GDP</v>
      </c>
      <c r="Q64" s="14" t="str">
        <f t="shared" si="13"/>
        <v>Low performer</v>
      </c>
      <c r="R64" s="8"/>
      <c r="S64" s="8"/>
      <c r="T64" s="8"/>
      <c r="U64" s="8"/>
      <c r="V64" s="8"/>
      <c r="W64" s="8"/>
      <c r="X64" s="8"/>
    </row>
    <row r="65" spans="1:24" x14ac:dyDescent="0.25">
      <c r="A65" s="13" t="s">
        <v>147</v>
      </c>
      <c r="B65" s="1" t="s">
        <v>148</v>
      </c>
      <c r="C65" s="1" t="s">
        <v>5</v>
      </c>
      <c r="D65" s="44">
        <v>0</v>
      </c>
      <c r="E65" s="1">
        <v>1</v>
      </c>
      <c r="F65" s="1">
        <v>5</v>
      </c>
      <c r="G65" s="44">
        <v>6</v>
      </c>
      <c r="H65" s="9" t="str">
        <f t="shared" si="7"/>
        <v>Needs improvement</v>
      </c>
      <c r="I65" s="44">
        <v>2484.85</v>
      </c>
      <c r="J65" s="1">
        <v>2023</v>
      </c>
      <c r="K65" s="44">
        <v>1428.6</v>
      </c>
      <c r="L65" s="48">
        <f t="shared" si="8"/>
        <v>0</v>
      </c>
      <c r="M65" s="11">
        <f t="shared" si="9"/>
        <v>0.16666666666666666</v>
      </c>
      <c r="N65" s="11">
        <f t="shared" si="10"/>
        <v>0.83333333333333337</v>
      </c>
      <c r="O65" s="12">
        <f t="shared" si="11"/>
        <v>414.14166666666665</v>
      </c>
      <c r="P65" s="9" t="str">
        <f t="shared" si="12"/>
        <v>Low GDP</v>
      </c>
      <c r="Q65" s="14" t="str">
        <f t="shared" si="13"/>
        <v>Low performer</v>
      </c>
      <c r="R65" s="8"/>
      <c r="S65" s="8"/>
      <c r="T65" s="8"/>
      <c r="U65" s="8"/>
      <c r="V65" s="8"/>
      <c r="W65" s="8"/>
      <c r="X65" s="8"/>
    </row>
    <row r="66" spans="1:24" x14ac:dyDescent="0.25">
      <c r="A66" s="13" t="s">
        <v>135</v>
      </c>
      <c r="B66" s="1" t="s">
        <v>136</v>
      </c>
      <c r="C66" s="1" t="s">
        <v>2</v>
      </c>
      <c r="D66" s="44">
        <v>0</v>
      </c>
      <c r="E66" s="1">
        <v>3</v>
      </c>
      <c r="F66" s="1">
        <v>2</v>
      </c>
      <c r="G66" s="44">
        <v>5</v>
      </c>
      <c r="H66" s="9" t="str">
        <f t="shared" ref="H66:H91" si="14">IF(G66&gt;=100,"Excellent","Needs improvement")</f>
        <v>Needs improvement</v>
      </c>
      <c r="I66" s="44">
        <v>13926.11</v>
      </c>
      <c r="J66" s="1">
        <v>2023</v>
      </c>
      <c r="K66" s="44">
        <v>128.5</v>
      </c>
      <c r="L66" s="48">
        <f t="shared" ref="L66:L91" si="15">D66/G66</f>
        <v>0</v>
      </c>
      <c r="M66" s="11">
        <f t="shared" ref="M66:M91" si="16">E66/G66</f>
        <v>0.6</v>
      </c>
      <c r="N66" s="11">
        <f t="shared" ref="N66:N91" si="17">F66/G66</f>
        <v>0.4</v>
      </c>
      <c r="O66" s="12">
        <f t="shared" ref="O66:O91" si="18">I66/G66</f>
        <v>2785.2220000000002</v>
      </c>
      <c r="P66" s="9" t="str">
        <f t="shared" ref="P66:P91" si="19">IF(I66&gt;=50000,"High GDP","Low GDP")</f>
        <v>Low GDP</v>
      </c>
      <c r="Q66" s="14" t="str">
        <f t="shared" ref="Q66:Q91" si="20">IF(D66&gt;=20,"Top performer","Low performer")</f>
        <v>Low performer</v>
      </c>
      <c r="R66" s="8"/>
      <c r="S66" s="8"/>
      <c r="T66" s="8"/>
      <c r="U66" s="8"/>
      <c r="V66" s="8"/>
      <c r="W66" s="8"/>
      <c r="X66" s="8"/>
    </row>
    <row r="67" spans="1:24" x14ac:dyDescent="0.25">
      <c r="A67" s="13" t="s">
        <v>133</v>
      </c>
      <c r="B67" s="1" t="s">
        <v>134</v>
      </c>
      <c r="C67" s="1" t="s">
        <v>5</v>
      </c>
      <c r="D67" s="44">
        <v>0</v>
      </c>
      <c r="E67" s="1">
        <v>3</v>
      </c>
      <c r="F67" s="1">
        <v>5</v>
      </c>
      <c r="G67" s="44">
        <v>8</v>
      </c>
      <c r="H67" s="9" t="str">
        <f t="shared" si="14"/>
        <v>Needs improvement</v>
      </c>
      <c r="I67" s="44">
        <v>12985.75</v>
      </c>
      <c r="J67" s="1">
        <v>2023</v>
      </c>
      <c r="K67" s="44">
        <v>85.3</v>
      </c>
      <c r="L67" s="48">
        <f t="shared" si="15"/>
        <v>0</v>
      </c>
      <c r="M67" s="11">
        <f t="shared" si="16"/>
        <v>0.375</v>
      </c>
      <c r="N67" s="11">
        <f t="shared" si="17"/>
        <v>0.625</v>
      </c>
      <c r="O67" s="12">
        <f t="shared" si="18"/>
        <v>1623.21875</v>
      </c>
      <c r="P67" s="9" t="str">
        <f t="shared" si="19"/>
        <v>Low GDP</v>
      </c>
      <c r="Q67" s="14" t="str">
        <f t="shared" si="20"/>
        <v>Low performer</v>
      </c>
      <c r="R67" s="8"/>
      <c r="S67" s="8"/>
      <c r="T67" s="8"/>
      <c r="U67" s="8"/>
      <c r="V67" s="8"/>
      <c r="W67" s="8"/>
      <c r="X67" s="8"/>
    </row>
    <row r="68" spans="1:24" x14ac:dyDescent="0.25">
      <c r="A68" s="13" t="s">
        <v>139</v>
      </c>
      <c r="B68" s="1" t="s">
        <v>140</v>
      </c>
      <c r="C68" s="1" t="s">
        <v>45</v>
      </c>
      <c r="D68" s="44">
        <v>0</v>
      </c>
      <c r="E68" s="1">
        <v>3</v>
      </c>
      <c r="F68" s="1">
        <v>1</v>
      </c>
      <c r="G68" s="44">
        <v>4</v>
      </c>
      <c r="H68" s="9" t="str">
        <f t="shared" si="14"/>
        <v>Needs improvement</v>
      </c>
      <c r="I68" s="44">
        <v>6979.73</v>
      </c>
      <c r="J68" s="1">
        <v>2023</v>
      </c>
      <c r="K68" s="44">
        <v>52.1</v>
      </c>
      <c r="L68" s="48">
        <f t="shared" si="15"/>
        <v>0</v>
      </c>
      <c r="M68" s="11">
        <f t="shared" si="16"/>
        <v>0.75</v>
      </c>
      <c r="N68" s="11">
        <f t="shared" si="17"/>
        <v>0.25</v>
      </c>
      <c r="O68" s="12">
        <f t="shared" si="18"/>
        <v>1744.9324999999999</v>
      </c>
      <c r="P68" s="9" t="str">
        <f t="shared" si="19"/>
        <v>Low GDP</v>
      </c>
      <c r="Q68" s="14" t="str">
        <f t="shared" si="20"/>
        <v>Low performer</v>
      </c>
      <c r="R68" s="8"/>
      <c r="S68" s="8"/>
      <c r="T68" s="8"/>
      <c r="U68" s="8"/>
      <c r="V68" s="8"/>
      <c r="W68" s="8"/>
      <c r="X68" s="8"/>
    </row>
    <row r="69" spans="1:24" x14ac:dyDescent="0.25">
      <c r="A69" s="13" t="s">
        <v>177</v>
      </c>
      <c r="B69" s="1" t="s">
        <v>178</v>
      </c>
      <c r="C69" s="1" t="s">
        <v>45</v>
      </c>
      <c r="D69" s="44">
        <v>0</v>
      </c>
      <c r="E69" s="1">
        <v>0</v>
      </c>
      <c r="F69" s="1">
        <v>1</v>
      </c>
      <c r="G69" s="44">
        <v>1</v>
      </c>
      <c r="H69" s="9" t="str">
        <f t="shared" si="14"/>
        <v>Needs improvement</v>
      </c>
      <c r="I69" s="44">
        <v>7789.87</v>
      </c>
      <c r="J69" s="1">
        <v>2023</v>
      </c>
      <c r="K69" s="44">
        <v>34.4</v>
      </c>
      <c r="L69" s="48">
        <f t="shared" si="15"/>
        <v>0</v>
      </c>
      <c r="M69" s="11">
        <f t="shared" si="16"/>
        <v>0</v>
      </c>
      <c r="N69" s="11">
        <f t="shared" si="17"/>
        <v>1</v>
      </c>
      <c r="O69" s="12">
        <f t="shared" si="18"/>
        <v>7789.87</v>
      </c>
      <c r="P69" s="9" t="str">
        <f t="shared" si="19"/>
        <v>Low GDP</v>
      </c>
      <c r="Q69" s="14" t="str">
        <f t="shared" si="20"/>
        <v>Low performer</v>
      </c>
      <c r="R69" s="8"/>
      <c r="S69" s="8"/>
      <c r="T69" s="8"/>
      <c r="U69" s="8"/>
      <c r="V69" s="8"/>
      <c r="W69" s="8"/>
      <c r="X69" s="8"/>
    </row>
    <row r="70" spans="1:24" x14ac:dyDescent="0.25">
      <c r="A70" s="13" t="s">
        <v>169</v>
      </c>
      <c r="B70" s="1" t="s">
        <v>170</v>
      </c>
      <c r="C70" s="1" t="s">
        <v>5</v>
      </c>
      <c r="D70" s="44">
        <v>0</v>
      </c>
      <c r="E70" s="1">
        <v>0</v>
      </c>
      <c r="F70" s="1">
        <v>2</v>
      </c>
      <c r="G70" s="44">
        <v>2</v>
      </c>
      <c r="H70" s="9" t="str">
        <f t="shared" si="14"/>
        <v>Needs improvement</v>
      </c>
      <c r="I70" s="44">
        <v>11648.67</v>
      </c>
      <c r="J70" s="1">
        <v>2023</v>
      </c>
      <c r="K70" s="44">
        <v>34.299999999999997</v>
      </c>
      <c r="L70" s="48">
        <f t="shared" si="15"/>
        <v>0</v>
      </c>
      <c r="M70" s="11">
        <f t="shared" si="16"/>
        <v>0</v>
      </c>
      <c r="N70" s="11">
        <f t="shared" si="17"/>
        <v>1</v>
      </c>
      <c r="O70" s="12">
        <f t="shared" si="18"/>
        <v>5824.335</v>
      </c>
      <c r="P70" s="9" t="str">
        <f t="shared" si="19"/>
        <v>Low GDP</v>
      </c>
      <c r="Q70" s="14" t="str">
        <f t="shared" si="20"/>
        <v>Low performer</v>
      </c>
      <c r="R70" s="8"/>
      <c r="S70" s="8"/>
      <c r="T70" s="8"/>
      <c r="U70" s="8"/>
      <c r="V70" s="8"/>
      <c r="W70" s="8"/>
      <c r="X70" s="8"/>
    </row>
    <row r="71" spans="1:24" x14ac:dyDescent="0.25">
      <c r="A71" s="13" t="s">
        <v>175</v>
      </c>
      <c r="B71" s="1" t="s">
        <v>176</v>
      </c>
      <c r="C71" s="1" t="s">
        <v>38</v>
      </c>
      <c r="D71" s="44">
        <v>0</v>
      </c>
      <c r="E71" s="1">
        <v>0</v>
      </c>
      <c r="F71" s="1">
        <v>1</v>
      </c>
      <c r="G71" s="44">
        <v>1</v>
      </c>
      <c r="H71" s="9" t="str">
        <f t="shared" si="14"/>
        <v>Needs improvement</v>
      </c>
      <c r="I71" s="44">
        <v>2728.8</v>
      </c>
      <c r="J71" s="1">
        <v>2023</v>
      </c>
      <c r="K71" s="44">
        <v>28.9</v>
      </c>
      <c r="L71" s="48">
        <f t="shared" si="15"/>
        <v>0</v>
      </c>
      <c r="M71" s="11">
        <f t="shared" si="16"/>
        <v>0</v>
      </c>
      <c r="N71" s="11">
        <f t="shared" si="17"/>
        <v>1</v>
      </c>
      <c r="O71" s="12">
        <f t="shared" si="18"/>
        <v>2728.8</v>
      </c>
      <c r="P71" s="9" t="str">
        <f t="shared" si="19"/>
        <v>Low GDP</v>
      </c>
      <c r="Q71" s="14" t="str">
        <f t="shared" si="20"/>
        <v>Low performer</v>
      </c>
      <c r="R71" s="8"/>
      <c r="S71" s="8"/>
      <c r="T71" s="8"/>
      <c r="U71" s="8"/>
      <c r="V71" s="8"/>
      <c r="W71" s="8"/>
      <c r="X71" s="8"/>
    </row>
    <row r="72" spans="1:24" x14ac:dyDescent="0.25">
      <c r="A72" s="13" t="s">
        <v>141</v>
      </c>
      <c r="B72" s="1" t="s">
        <v>142</v>
      </c>
      <c r="C72" s="1" t="s">
        <v>5</v>
      </c>
      <c r="D72" s="44">
        <v>0</v>
      </c>
      <c r="E72" s="1">
        <v>2</v>
      </c>
      <c r="F72" s="1">
        <v>4</v>
      </c>
      <c r="G72" s="44">
        <v>6</v>
      </c>
      <c r="H72" s="9" t="str">
        <f t="shared" si="14"/>
        <v>Needs improvement</v>
      </c>
      <c r="I72" s="44">
        <v>1217</v>
      </c>
      <c r="J72" s="1">
        <v>2023</v>
      </c>
      <c r="K72" s="44">
        <v>26.2</v>
      </c>
      <c r="L72" s="48">
        <f t="shared" si="15"/>
        <v>0</v>
      </c>
      <c r="M72" s="11">
        <f t="shared" si="16"/>
        <v>0.33333333333333331</v>
      </c>
      <c r="N72" s="11">
        <f t="shared" si="17"/>
        <v>0.66666666666666663</v>
      </c>
      <c r="O72" s="12">
        <f t="shared" si="18"/>
        <v>202.83333333333334</v>
      </c>
      <c r="P72" s="9" t="str">
        <f t="shared" si="19"/>
        <v>Low GDP</v>
      </c>
      <c r="Q72" s="14" t="str">
        <f t="shared" si="20"/>
        <v>Low performer</v>
      </c>
      <c r="R72" s="8"/>
      <c r="S72" s="8"/>
      <c r="T72" s="8"/>
      <c r="U72" s="8"/>
      <c r="V72" s="8"/>
      <c r="W72" s="8"/>
      <c r="X72" s="8"/>
    </row>
    <row r="73" spans="1:24" x14ac:dyDescent="0.25">
      <c r="A73" s="13" t="s">
        <v>185</v>
      </c>
      <c r="B73" s="1" t="s">
        <v>186</v>
      </c>
      <c r="C73" s="1" t="s">
        <v>38</v>
      </c>
      <c r="D73" s="44">
        <v>0</v>
      </c>
      <c r="E73" s="1">
        <v>0</v>
      </c>
      <c r="F73" s="1">
        <v>1</v>
      </c>
      <c r="G73" s="44">
        <v>1</v>
      </c>
      <c r="H73" s="9" t="str">
        <f t="shared" si="14"/>
        <v>Needs improvement</v>
      </c>
      <c r="I73" s="44">
        <v>1369.13</v>
      </c>
      <c r="J73" s="1">
        <v>2023</v>
      </c>
      <c r="K73" s="44">
        <v>20.6</v>
      </c>
      <c r="L73" s="48">
        <f t="shared" si="15"/>
        <v>0</v>
      </c>
      <c r="M73" s="11">
        <f t="shared" si="16"/>
        <v>0</v>
      </c>
      <c r="N73" s="11">
        <f t="shared" si="17"/>
        <v>1</v>
      </c>
      <c r="O73" s="12">
        <f t="shared" si="18"/>
        <v>1369.13</v>
      </c>
      <c r="P73" s="9" t="str">
        <f t="shared" si="19"/>
        <v>Low GDP</v>
      </c>
      <c r="Q73" s="14" t="str">
        <f t="shared" si="20"/>
        <v>Low performer</v>
      </c>
      <c r="R73" s="8"/>
      <c r="S73" s="8"/>
      <c r="T73" s="8"/>
      <c r="U73" s="8"/>
      <c r="V73" s="8"/>
      <c r="W73" s="8"/>
      <c r="X73" s="8"/>
    </row>
    <row r="74" spans="1:24" x14ac:dyDescent="0.25">
      <c r="A74" s="13" t="s">
        <v>157</v>
      </c>
      <c r="B74" s="1" t="s">
        <v>158</v>
      </c>
      <c r="C74" s="1" t="s">
        <v>5</v>
      </c>
      <c r="D74" s="44">
        <v>0</v>
      </c>
      <c r="E74" s="1">
        <v>1</v>
      </c>
      <c r="F74" s="1">
        <v>0</v>
      </c>
      <c r="G74" s="44">
        <v>1</v>
      </c>
      <c r="H74" s="9" t="str">
        <f t="shared" si="14"/>
        <v>Needs improvement</v>
      </c>
      <c r="I74" s="44">
        <v>4482.09</v>
      </c>
      <c r="J74" s="1">
        <v>2023</v>
      </c>
      <c r="K74" s="44">
        <v>11.3</v>
      </c>
      <c r="L74" s="48">
        <f t="shared" si="15"/>
        <v>0</v>
      </c>
      <c r="M74" s="11">
        <f t="shared" si="16"/>
        <v>1</v>
      </c>
      <c r="N74" s="11">
        <f t="shared" si="17"/>
        <v>0</v>
      </c>
      <c r="O74" s="12">
        <f t="shared" si="18"/>
        <v>4482.09</v>
      </c>
      <c r="P74" s="9" t="str">
        <f t="shared" si="19"/>
        <v>Low GDP</v>
      </c>
      <c r="Q74" s="14" t="str">
        <f t="shared" si="20"/>
        <v>Low performer</v>
      </c>
      <c r="R74" s="8"/>
      <c r="S74" s="8"/>
      <c r="T74" s="8"/>
      <c r="U74" s="8"/>
      <c r="V74" s="8"/>
      <c r="W74" s="8"/>
      <c r="X74" s="8"/>
    </row>
    <row r="75" spans="1:24" x14ac:dyDescent="0.25">
      <c r="A75" s="13" t="s">
        <v>163</v>
      </c>
      <c r="B75" s="1" t="s">
        <v>164</v>
      </c>
      <c r="C75" s="1" t="s">
        <v>5</v>
      </c>
      <c r="D75" s="44">
        <v>0</v>
      </c>
      <c r="E75" s="1">
        <v>0</v>
      </c>
      <c r="F75" s="1">
        <v>3</v>
      </c>
      <c r="G75" s="44">
        <v>3</v>
      </c>
      <c r="H75" s="9" t="str">
        <f t="shared" si="14"/>
        <v>Needs improvement</v>
      </c>
      <c r="I75" s="44">
        <v>1188.99</v>
      </c>
      <c r="J75" s="1">
        <v>2023</v>
      </c>
      <c r="K75" s="44">
        <v>10.1</v>
      </c>
      <c r="L75" s="48">
        <f t="shared" si="15"/>
        <v>0</v>
      </c>
      <c r="M75" s="11">
        <f t="shared" si="16"/>
        <v>0</v>
      </c>
      <c r="N75" s="11">
        <f t="shared" si="17"/>
        <v>1</v>
      </c>
      <c r="O75" s="12">
        <f t="shared" si="18"/>
        <v>396.33</v>
      </c>
      <c r="P75" s="9" t="str">
        <f t="shared" si="19"/>
        <v>Low GDP</v>
      </c>
      <c r="Q75" s="14" t="str">
        <f t="shared" si="20"/>
        <v>Low performer</v>
      </c>
      <c r="R75" s="8"/>
      <c r="S75" s="8"/>
      <c r="T75" s="8"/>
      <c r="U75" s="8"/>
      <c r="V75" s="8"/>
      <c r="W75" s="8"/>
      <c r="X75" s="8"/>
    </row>
    <row r="76" spans="1:24" x14ac:dyDescent="0.25">
      <c r="A76" s="13" t="s">
        <v>143</v>
      </c>
      <c r="B76" s="1" t="s">
        <v>144</v>
      </c>
      <c r="C76" s="1" t="s">
        <v>5</v>
      </c>
      <c r="D76" s="44">
        <v>0</v>
      </c>
      <c r="E76" s="1">
        <v>2</v>
      </c>
      <c r="F76" s="1">
        <v>4</v>
      </c>
      <c r="G76" s="44">
        <v>6</v>
      </c>
      <c r="H76" s="9" t="str">
        <f t="shared" si="14"/>
        <v>Needs improvement</v>
      </c>
      <c r="I76" s="44">
        <v>1969.87</v>
      </c>
      <c r="J76" s="1">
        <v>2023</v>
      </c>
      <c r="K76" s="44">
        <v>7.1</v>
      </c>
      <c r="L76" s="48">
        <f t="shared" si="15"/>
        <v>0</v>
      </c>
      <c r="M76" s="11">
        <f t="shared" si="16"/>
        <v>0.33333333333333331</v>
      </c>
      <c r="N76" s="11">
        <f t="shared" si="17"/>
        <v>0.66666666666666663</v>
      </c>
      <c r="O76" s="12">
        <f t="shared" si="18"/>
        <v>328.31166666666667</v>
      </c>
      <c r="P76" s="9" t="str">
        <f t="shared" si="19"/>
        <v>Low GDP</v>
      </c>
      <c r="Q76" s="14" t="str">
        <f t="shared" si="20"/>
        <v>Low performer</v>
      </c>
      <c r="R76" s="8"/>
      <c r="S76" s="8"/>
      <c r="T76" s="8"/>
      <c r="U76" s="8"/>
      <c r="V76" s="8"/>
      <c r="W76" s="8"/>
      <c r="X76" s="8"/>
    </row>
    <row r="77" spans="1:24" x14ac:dyDescent="0.25">
      <c r="A77" s="13" t="s">
        <v>181</v>
      </c>
      <c r="B77" s="1" t="s">
        <v>182</v>
      </c>
      <c r="C77" s="1" t="s">
        <v>5</v>
      </c>
      <c r="D77" s="44">
        <v>0</v>
      </c>
      <c r="E77" s="1">
        <v>0</v>
      </c>
      <c r="F77" s="1">
        <v>1</v>
      </c>
      <c r="G77" s="44">
        <v>1</v>
      </c>
      <c r="H77" s="9" t="str">
        <f t="shared" si="14"/>
        <v>Needs improvement</v>
      </c>
      <c r="I77" s="44">
        <v>84734.26</v>
      </c>
      <c r="J77" s="1">
        <v>2023</v>
      </c>
      <c r="K77" s="44">
        <v>5.9</v>
      </c>
      <c r="L77" s="48">
        <f t="shared" si="15"/>
        <v>0</v>
      </c>
      <c r="M77" s="11">
        <f t="shared" si="16"/>
        <v>0</v>
      </c>
      <c r="N77" s="11">
        <f t="shared" si="17"/>
        <v>1</v>
      </c>
      <c r="O77" s="12">
        <f t="shared" si="18"/>
        <v>84734.26</v>
      </c>
      <c r="P77" s="9" t="str">
        <f t="shared" si="19"/>
        <v>High GDP</v>
      </c>
      <c r="Q77" s="14" t="str">
        <f t="shared" si="20"/>
        <v>Low performer</v>
      </c>
      <c r="R77" s="8"/>
      <c r="S77" s="8"/>
      <c r="T77" s="8"/>
      <c r="U77" s="8"/>
      <c r="V77" s="8"/>
      <c r="W77" s="8"/>
      <c r="X77" s="8"/>
    </row>
    <row r="78" spans="1:24" x14ac:dyDescent="0.25">
      <c r="A78" s="13" t="s">
        <v>183</v>
      </c>
      <c r="B78" s="1" t="s">
        <v>184</v>
      </c>
      <c r="C78" s="1" t="s">
        <v>13</v>
      </c>
      <c r="D78" s="44">
        <v>0</v>
      </c>
      <c r="E78" s="1">
        <v>0</v>
      </c>
      <c r="F78" s="1">
        <v>1</v>
      </c>
      <c r="G78" s="44">
        <v>1</v>
      </c>
      <c r="H78" s="9" t="str">
        <f t="shared" si="14"/>
        <v>Needs improvement</v>
      </c>
      <c r="I78" s="44">
        <v>24470.240000000002</v>
      </c>
      <c r="J78" s="1">
        <v>2023</v>
      </c>
      <c r="K78" s="44">
        <v>5.4</v>
      </c>
      <c r="L78" s="48">
        <f t="shared" si="15"/>
        <v>0</v>
      </c>
      <c r="M78" s="11">
        <f t="shared" si="16"/>
        <v>0</v>
      </c>
      <c r="N78" s="11">
        <f t="shared" si="17"/>
        <v>1</v>
      </c>
      <c r="O78" s="12">
        <f t="shared" si="18"/>
        <v>24470.240000000002</v>
      </c>
      <c r="P78" s="9" t="str">
        <f t="shared" si="19"/>
        <v>Low GDP</v>
      </c>
      <c r="Q78" s="14" t="str">
        <f t="shared" si="20"/>
        <v>Low performer</v>
      </c>
      <c r="R78" s="8"/>
      <c r="S78" s="8"/>
      <c r="T78" s="8"/>
      <c r="U78" s="8"/>
      <c r="V78" s="8"/>
      <c r="W78" s="8"/>
      <c r="X78" s="8"/>
    </row>
    <row r="79" spans="1:24" x14ac:dyDescent="0.25">
      <c r="A79" s="13" t="s">
        <v>161</v>
      </c>
      <c r="B79" s="1" t="s">
        <v>162</v>
      </c>
      <c r="C79" s="1" t="s">
        <v>45</v>
      </c>
      <c r="D79" s="44">
        <v>0</v>
      </c>
      <c r="E79" s="1">
        <v>1</v>
      </c>
      <c r="F79" s="1">
        <v>0</v>
      </c>
      <c r="G79" s="44">
        <v>1</v>
      </c>
      <c r="H79" s="9" t="str">
        <f t="shared" si="14"/>
        <v>Needs improvement</v>
      </c>
      <c r="I79" s="44">
        <v>18661.77</v>
      </c>
      <c r="J79" s="1">
        <v>2023</v>
      </c>
      <c r="K79" s="44">
        <v>4.5</v>
      </c>
      <c r="L79" s="48">
        <f t="shared" si="15"/>
        <v>0</v>
      </c>
      <c r="M79" s="11">
        <f t="shared" si="16"/>
        <v>1</v>
      </c>
      <c r="N79" s="11">
        <f t="shared" si="17"/>
        <v>0</v>
      </c>
      <c r="O79" s="12">
        <f t="shared" si="18"/>
        <v>18661.77</v>
      </c>
      <c r="P79" s="9" t="str">
        <f t="shared" si="19"/>
        <v>Low GDP</v>
      </c>
      <c r="Q79" s="14" t="str">
        <f t="shared" si="20"/>
        <v>Low performer</v>
      </c>
      <c r="R79" s="8"/>
      <c r="S79" s="8"/>
      <c r="T79" s="8"/>
      <c r="U79" s="8"/>
      <c r="V79" s="8"/>
      <c r="W79" s="8"/>
      <c r="X79" s="8"/>
    </row>
    <row r="80" spans="1:24" x14ac:dyDescent="0.25">
      <c r="A80" s="13" t="s">
        <v>159</v>
      </c>
      <c r="B80" s="1" t="s">
        <v>160</v>
      </c>
      <c r="C80" s="1" t="s">
        <v>5</v>
      </c>
      <c r="D80" s="44">
        <v>0</v>
      </c>
      <c r="E80" s="1">
        <v>1</v>
      </c>
      <c r="F80" s="1">
        <v>0</v>
      </c>
      <c r="G80" s="44">
        <v>1</v>
      </c>
      <c r="H80" s="9" t="str">
        <f t="shared" si="14"/>
        <v>Needs improvement</v>
      </c>
      <c r="I80" s="44">
        <v>5764.8</v>
      </c>
      <c r="J80" s="1">
        <v>2023</v>
      </c>
      <c r="K80" s="44">
        <v>3.4</v>
      </c>
      <c r="L80" s="48">
        <f t="shared" si="15"/>
        <v>0</v>
      </c>
      <c r="M80" s="11">
        <f t="shared" si="16"/>
        <v>1</v>
      </c>
      <c r="N80" s="11">
        <f t="shared" si="17"/>
        <v>0</v>
      </c>
      <c r="O80" s="12">
        <f t="shared" si="18"/>
        <v>5764.8</v>
      </c>
      <c r="P80" s="9" t="str">
        <f t="shared" si="19"/>
        <v>Low GDP</v>
      </c>
      <c r="Q80" s="14" t="str">
        <f t="shared" si="20"/>
        <v>Low performer</v>
      </c>
      <c r="R80" s="8"/>
      <c r="S80" s="8"/>
      <c r="T80" s="8"/>
      <c r="U80" s="8"/>
      <c r="V80" s="8"/>
      <c r="W80" s="8"/>
      <c r="X80" s="8"/>
    </row>
    <row r="81" spans="1:24" x14ac:dyDescent="0.25">
      <c r="A81" s="13" t="s">
        <v>171</v>
      </c>
      <c r="B81" s="1" t="s">
        <v>172</v>
      </c>
      <c r="C81" s="1" t="s">
        <v>120</v>
      </c>
      <c r="D81" s="44">
        <v>0</v>
      </c>
      <c r="E81" s="1">
        <v>0</v>
      </c>
      <c r="F81" s="1">
        <v>2</v>
      </c>
      <c r="G81" s="44">
        <v>2</v>
      </c>
      <c r="H81" s="9" t="str">
        <f t="shared" si="14"/>
        <v>Needs improvement</v>
      </c>
      <c r="I81" s="44">
        <v>36779.06</v>
      </c>
      <c r="J81" s="1">
        <v>2023</v>
      </c>
      <c r="K81" s="44">
        <v>3.2</v>
      </c>
      <c r="L81" s="48">
        <f t="shared" si="15"/>
        <v>0</v>
      </c>
      <c r="M81" s="11">
        <f t="shared" si="16"/>
        <v>0</v>
      </c>
      <c r="N81" s="11">
        <f t="shared" si="17"/>
        <v>1</v>
      </c>
      <c r="O81" s="12">
        <f t="shared" si="18"/>
        <v>18389.53</v>
      </c>
      <c r="P81" s="9" t="str">
        <f t="shared" si="19"/>
        <v>Low GDP</v>
      </c>
      <c r="Q81" s="14" t="str">
        <f t="shared" si="20"/>
        <v>Low performer</v>
      </c>
      <c r="R81" s="8"/>
      <c r="S81" s="8"/>
      <c r="T81" s="8"/>
      <c r="U81" s="8"/>
      <c r="V81" s="8"/>
      <c r="W81" s="8"/>
      <c r="X81" s="8"/>
    </row>
    <row r="82" spans="1:24" x14ac:dyDescent="0.25">
      <c r="A82" s="13" t="s">
        <v>145</v>
      </c>
      <c r="B82" s="1" t="s">
        <v>146</v>
      </c>
      <c r="C82" s="1" t="s">
        <v>13</v>
      </c>
      <c r="D82" s="44">
        <v>0</v>
      </c>
      <c r="E82" s="1">
        <v>2</v>
      </c>
      <c r="F82" s="1">
        <v>2</v>
      </c>
      <c r="G82" s="44">
        <v>4</v>
      </c>
      <c r="H82" s="9" t="str">
        <f t="shared" si="14"/>
        <v>Needs improvement</v>
      </c>
      <c r="I82" s="44">
        <v>27102.78</v>
      </c>
      <c r="J82" s="1">
        <v>2023</v>
      </c>
      <c r="K82" s="44">
        <v>2.9</v>
      </c>
      <c r="L82" s="48">
        <f t="shared" si="15"/>
        <v>0</v>
      </c>
      <c r="M82" s="11">
        <f t="shared" si="16"/>
        <v>0.5</v>
      </c>
      <c r="N82" s="11">
        <f t="shared" si="17"/>
        <v>0.5</v>
      </c>
      <c r="O82" s="12">
        <f t="shared" si="18"/>
        <v>6775.6949999999997</v>
      </c>
      <c r="P82" s="9" t="str">
        <f t="shared" si="19"/>
        <v>Low GDP</v>
      </c>
      <c r="Q82" s="14" t="str">
        <f t="shared" si="20"/>
        <v>Low performer</v>
      </c>
      <c r="R82" s="8"/>
      <c r="S82" s="8"/>
      <c r="T82" s="8"/>
      <c r="U82" s="8"/>
      <c r="V82" s="8"/>
      <c r="W82" s="8"/>
      <c r="X82" s="8"/>
    </row>
    <row r="83" spans="1:24" x14ac:dyDescent="0.25">
      <c r="A83" s="13" t="s">
        <v>137</v>
      </c>
      <c r="B83" s="1" t="s">
        <v>138</v>
      </c>
      <c r="C83" s="1" t="s">
        <v>5</v>
      </c>
      <c r="D83" s="44">
        <v>0</v>
      </c>
      <c r="E83" s="1">
        <v>3</v>
      </c>
      <c r="F83" s="1">
        <v>1</v>
      </c>
      <c r="G83" s="44">
        <v>4</v>
      </c>
      <c r="H83" s="9" t="str">
        <f t="shared" si="14"/>
        <v>Needs improvement</v>
      </c>
      <c r="I83" s="44">
        <v>8715.77</v>
      </c>
      <c r="J83" s="1">
        <v>2023</v>
      </c>
      <c r="K83" s="44">
        <v>2.8</v>
      </c>
      <c r="L83" s="48">
        <f t="shared" si="15"/>
        <v>0</v>
      </c>
      <c r="M83" s="11">
        <f t="shared" si="16"/>
        <v>0.75</v>
      </c>
      <c r="N83" s="11">
        <f t="shared" si="17"/>
        <v>0.25</v>
      </c>
      <c r="O83" s="12">
        <f t="shared" si="18"/>
        <v>2178.9425000000001</v>
      </c>
      <c r="P83" s="9" t="str">
        <f t="shared" si="19"/>
        <v>Low GDP</v>
      </c>
      <c r="Q83" s="14" t="str">
        <f t="shared" si="20"/>
        <v>Low performer</v>
      </c>
      <c r="R83" s="8"/>
      <c r="S83" s="8"/>
      <c r="T83" s="8"/>
      <c r="U83" s="8"/>
      <c r="V83" s="8"/>
      <c r="W83" s="8"/>
      <c r="X83" s="8"/>
    </row>
    <row r="84" spans="1:24" x14ac:dyDescent="0.25">
      <c r="A84" s="13" t="s">
        <v>179</v>
      </c>
      <c r="B84" s="1" t="s">
        <v>180</v>
      </c>
      <c r="C84" s="1" t="s">
        <v>5</v>
      </c>
      <c r="D84" s="44">
        <v>0</v>
      </c>
      <c r="E84" s="1">
        <v>0</v>
      </c>
      <c r="F84" s="1">
        <v>1</v>
      </c>
      <c r="G84" s="44">
        <v>1</v>
      </c>
      <c r="H84" s="9" t="str">
        <f t="shared" si="14"/>
        <v>Needs improvement</v>
      </c>
      <c r="I84" s="44">
        <v>87480.42</v>
      </c>
      <c r="J84" s="1">
        <v>2022</v>
      </c>
      <c r="K84" s="44">
        <v>2.7</v>
      </c>
      <c r="L84" s="48">
        <f t="shared" si="15"/>
        <v>0</v>
      </c>
      <c r="M84" s="11">
        <f t="shared" si="16"/>
        <v>0</v>
      </c>
      <c r="N84" s="11">
        <f t="shared" si="17"/>
        <v>1</v>
      </c>
      <c r="O84" s="12">
        <f t="shared" si="18"/>
        <v>87480.42</v>
      </c>
      <c r="P84" s="9" t="str">
        <f t="shared" si="19"/>
        <v>High GDP</v>
      </c>
      <c r="Q84" s="14" t="str">
        <f t="shared" si="20"/>
        <v>Low performer</v>
      </c>
      <c r="R84" s="8"/>
      <c r="S84" s="8"/>
      <c r="T84" s="8"/>
      <c r="U84" s="8"/>
      <c r="V84" s="8"/>
      <c r="W84" s="8"/>
      <c r="X84" s="8"/>
    </row>
    <row r="85" spans="1:24" x14ac:dyDescent="0.25">
      <c r="A85" s="13" t="s">
        <v>165</v>
      </c>
      <c r="B85" s="1" t="s">
        <v>166</v>
      </c>
      <c r="C85" s="1" t="s">
        <v>13</v>
      </c>
      <c r="D85" s="44">
        <v>0</v>
      </c>
      <c r="E85" s="1">
        <v>0</v>
      </c>
      <c r="F85" s="1">
        <v>2</v>
      </c>
      <c r="G85" s="44">
        <v>2</v>
      </c>
      <c r="H85" s="9" t="str">
        <f t="shared" si="14"/>
        <v>Needs improvement</v>
      </c>
      <c r="I85" s="44">
        <v>8367.7800000000007</v>
      </c>
      <c r="J85" s="1">
        <v>2023</v>
      </c>
      <c r="K85" s="44">
        <v>2.7</v>
      </c>
      <c r="L85" s="48">
        <f t="shared" si="15"/>
        <v>0</v>
      </c>
      <c r="M85" s="11">
        <f t="shared" si="16"/>
        <v>0</v>
      </c>
      <c r="N85" s="11">
        <f t="shared" si="17"/>
        <v>1</v>
      </c>
      <c r="O85" s="12">
        <f t="shared" si="18"/>
        <v>4183.8900000000003</v>
      </c>
      <c r="P85" s="9" t="str">
        <f t="shared" si="19"/>
        <v>Low GDP</v>
      </c>
      <c r="Q85" s="14" t="str">
        <f t="shared" si="20"/>
        <v>Low performer</v>
      </c>
      <c r="R85" s="8"/>
      <c r="S85" s="8"/>
      <c r="T85" s="8"/>
      <c r="U85" s="8"/>
      <c r="V85" s="8"/>
      <c r="W85" s="8"/>
      <c r="X85" s="8"/>
    </row>
    <row r="86" spans="1:24" x14ac:dyDescent="0.25">
      <c r="A86" s="13" t="s">
        <v>149</v>
      </c>
      <c r="B86" s="1" t="s">
        <v>150</v>
      </c>
      <c r="C86" s="1" t="s">
        <v>13</v>
      </c>
      <c r="D86" s="44">
        <v>0</v>
      </c>
      <c r="E86" s="1">
        <v>1</v>
      </c>
      <c r="F86" s="1">
        <v>3</v>
      </c>
      <c r="G86" s="44">
        <v>4</v>
      </c>
      <c r="H86" s="9" t="str">
        <f t="shared" si="14"/>
        <v>Needs improvement</v>
      </c>
      <c r="I86" s="44">
        <v>6650.65</v>
      </c>
      <c r="J86" s="1">
        <v>2023</v>
      </c>
      <c r="K86" s="44">
        <v>2.5</v>
      </c>
      <c r="L86" s="48">
        <f t="shared" si="15"/>
        <v>0</v>
      </c>
      <c r="M86" s="11">
        <f t="shared" si="16"/>
        <v>0.25</v>
      </c>
      <c r="N86" s="11">
        <f t="shared" si="17"/>
        <v>0.75</v>
      </c>
      <c r="O86" s="12">
        <f t="shared" si="18"/>
        <v>1662.6624999999999</v>
      </c>
      <c r="P86" s="9" t="str">
        <f t="shared" si="19"/>
        <v>Low GDP</v>
      </c>
      <c r="Q86" s="14" t="str">
        <f t="shared" si="20"/>
        <v>Low performer</v>
      </c>
      <c r="R86" s="8"/>
      <c r="S86" s="8"/>
      <c r="T86" s="8"/>
      <c r="U86" s="8"/>
      <c r="V86" s="8"/>
      <c r="W86" s="8"/>
      <c r="X86" s="8"/>
    </row>
    <row r="87" spans="1:24" x14ac:dyDescent="0.25">
      <c r="A87" s="13" t="s">
        <v>151</v>
      </c>
      <c r="B87" s="1" t="s">
        <v>152</v>
      </c>
      <c r="C87" s="1" t="s">
        <v>13</v>
      </c>
      <c r="D87" s="44">
        <v>0</v>
      </c>
      <c r="E87" s="1">
        <v>1</v>
      </c>
      <c r="F87" s="1">
        <v>1</v>
      </c>
      <c r="G87" s="44">
        <v>2</v>
      </c>
      <c r="H87" s="9" t="str">
        <f t="shared" si="14"/>
        <v>Needs improvement</v>
      </c>
      <c r="I87" s="44">
        <v>5943.13</v>
      </c>
      <c r="J87" s="1">
        <v>2023</v>
      </c>
      <c r="K87" s="44">
        <v>1.8</v>
      </c>
      <c r="L87" s="48">
        <f t="shared" si="15"/>
        <v>0</v>
      </c>
      <c r="M87" s="11">
        <f t="shared" si="16"/>
        <v>0.5</v>
      </c>
      <c r="N87" s="11">
        <f t="shared" si="17"/>
        <v>0.5</v>
      </c>
      <c r="O87" s="12">
        <f t="shared" si="18"/>
        <v>2971.5650000000001</v>
      </c>
      <c r="P87" s="9" t="str">
        <f t="shared" si="19"/>
        <v>Low GDP</v>
      </c>
      <c r="Q87" s="14" t="str">
        <f t="shared" si="20"/>
        <v>Low performer</v>
      </c>
      <c r="R87" s="8"/>
      <c r="S87" s="8"/>
      <c r="T87" s="8"/>
      <c r="U87" s="8"/>
      <c r="V87" s="8"/>
      <c r="W87" s="8"/>
      <c r="X87" s="8"/>
    </row>
    <row r="88" spans="1:24" x14ac:dyDescent="0.25">
      <c r="A88" s="13" t="s">
        <v>153</v>
      </c>
      <c r="B88" s="1" t="s">
        <v>154</v>
      </c>
      <c r="C88" s="1" t="s">
        <v>13</v>
      </c>
      <c r="D88" s="44">
        <v>0</v>
      </c>
      <c r="E88" s="1">
        <v>1</v>
      </c>
      <c r="F88" s="1">
        <v>0</v>
      </c>
      <c r="G88" s="44">
        <v>1</v>
      </c>
      <c r="H88" s="9" t="str">
        <f t="shared" si="14"/>
        <v>Needs improvement</v>
      </c>
      <c r="I88" s="44">
        <v>34701.440000000002</v>
      </c>
      <c r="J88" s="1">
        <v>2023</v>
      </c>
      <c r="K88" s="44">
        <v>1.3</v>
      </c>
      <c r="L88" s="48">
        <f t="shared" si="15"/>
        <v>0</v>
      </c>
      <c r="M88" s="11">
        <f t="shared" si="16"/>
        <v>1</v>
      </c>
      <c r="N88" s="11">
        <f t="shared" si="17"/>
        <v>0</v>
      </c>
      <c r="O88" s="12">
        <f t="shared" si="18"/>
        <v>34701.440000000002</v>
      </c>
      <c r="P88" s="9" t="str">
        <f t="shared" si="19"/>
        <v>Low GDP</v>
      </c>
      <c r="Q88" s="14" t="str">
        <f t="shared" si="20"/>
        <v>Low performer</v>
      </c>
      <c r="R88" s="8"/>
      <c r="S88" s="8"/>
      <c r="T88" s="8"/>
      <c r="U88" s="8"/>
      <c r="V88" s="8"/>
      <c r="W88" s="8"/>
      <c r="X88" s="8"/>
    </row>
    <row r="89" spans="1:24" x14ac:dyDescent="0.25">
      <c r="A89" s="13" t="s">
        <v>155</v>
      </c>
      <c r="B89" s="1" t="s">
        <v>156</v>
      </c>
      <c r="C89" s="1" t="s">
        <v>10</v>
      </c>
      <c r="D89" s="44">
        <v>0</v>
      </c>
      <c r="E89" s="1">
        <v>1</v>
      </c>
      <c r="F89" s="1">
        <v>0</v>
      </c>
      <c r="G89" s="44">
        <v>1</v>
      </c>
      <c r="H89" s="9" t="str">
        <f t="shared" si="14"/>
        <v>Needs improvement</v>
      </c>
      <c r="I89" s="44">
        <v>5868.16</v>
      </c>
      <c r="J89" s="1">
        <v>2023</v>
      </c>
      <c r="K89" s="44">
        <v>0.9</v>
      </c>
      <c r="L89" s="48">
        <f t="shared" si="15"/>
        <v>0</v>
      </c>
      <c r="M89" s="11">
        <f t="shared" si="16"/>
        <v>1</v>
      </c>
      <c r="N89" s="11">
        <f t="shared" si="17"/>
        <v>0</v>
      </c>
      <c r="O89" s="12">
        <f t="shared" si="18"/>
        <v>5868.16</v>
      </c>
      <c r="P89" s="9" t="str">
        <f t="shared" si="19"/>
        <v>Low GDP</v>
      </c>
      <c r="Q89" s="14" t="str">
        <f t="shared" si="20"/>
        <v>Low performer</v>
      </c>
      <c r="R89" s="8"/>
      <c r="S89" s="8"/>
      <c r="T89" s="8"/>
      <c r="U89" s="8"/>
      <c r="V89" s="8"/>
      <c r="W89" s="8"/>
      <c r="X89" s="8"/>
    </row>
    <row r="90" spans="1:24" x14ac:dyDescent="0.25">
      <c r="A90" s="13" t="s">
        <v>173</v>
      </c>
      <c r="B90" s="1" t="s">
        <v>174</v>
      </c>
      <c r="C90" s="1" t="s">
        <v>38</v>
      </c>
      <c r="D90" s="44">
        <v>0</v>
      </c>
      <c r="E90" s="1">
        <v>0</v>
      </c>
      <c r="F90" s="1">
        <v>1</v>
      </c>
      <c r="G90" s="44">
        <v>1</v>
      </c>
      <c r="H90" s="9" t="str">
        <f t="shared" si="14"/>
        <v>Needs improvement</v>
      </c>
      <c r="I90" s="44">
        <v>4321.58</v>
      </c>
      <c r="J90" s="1">
        <v>2023</v>
      </c>
      <c r="K90" s="44">
        <v>0.6</v>
      </c>
      <c r="L90" s="48">
        <f t="shared" si="15"/>
        <v>0</v>
      </c>
      <c r="M90" s="11">
        <f t="shared" si="16"/>
        <v>0</v>
      </c>
      <c r="N90" s="11">
        <f t="shared" si="17"/>
        <v>1</v>
      </c>
      <c r="O90" s="12">
        <f t="shared" si="18"/>
        <v>4321.58</v>
      </c>
      <c r="P90" s="9" t="str">
        <f t="shared" si="19"/>
        <v>Low GDP</v>
      </c>
      <c r="Q90" s="14" t="str">
        <f t="shared" si="20"/>
        <v>Low performer</v>
      </c>
      <c r="R90" s="8"/>
      <c r="S90" s="8"/>
      <c r="T90" s="8"/>
      <c r="U90" s="8"/>
      <c r="V90" s="8"/>
      <c r="W90" s="8"/>
      <c r="X90" s="8"/>
    </row>
    <row r="91" spans="1:24" x14ac:dyDescent="0.25">
      <c r="A91" s="22" t="s">
        <v>167</v>
      </c>
      <c r="B91" s="23" t="s">
        <v>168</v>
      </c>
      <c r="C91" s="23" t="s">
        <v>120</v>
      </c>
      <c r="D91" s="45">
        <v>0</v>
      </c>
      <c r="E91" s="23">
        <v>0</v>
      </c>
      <c r="F91" s="23">
        <v>2</v>
      </c>
      <c r="G91" s="45">
        <v>2</v>
      </c>
      <c r="H91" s="24" t="str">
        <f t="shared" si="14"/>
        <v>Needs improvement</v>
      </c>
      <c r="I91" s="45">
        <v>10463.65</v>
      </c>
      <c r="J91" s="23">
        <v>2023</v>
      </c>
      <c r="K91" s="45">
        <v>0.1</v>
      </c>
      <c r="L91" s="49">
        <f t="shared" si="15"/>
        <v>0</v>
      </c>
      <c r="M91" s="26">
        <f t="shared" si="16"/>
        <v>0</v>
      </c>
      <c r="N91" s="26">
        <f t="shared" si="17"/>
        <v>1</v>
      </c>
      <c r="O91" s="27">
        <f t="shared" si="18"/>
        <v>5231.8249999999998</v>
      </c>
      <c r="P91" s="24" t="str">
        <f t="shared" si="19"/>
        <v>Low GDP</v>
      </c>
      <c r="Q91" s="28" t="str">
        <f t="shared" si="20"/>
        <v>Low performer</v>
      </c>
      <c r="R91" s="8"/>
      <c r="S91" s="8"/>
      <c r="T91" s="8"/>
      <c r="U91" s="8"/>
      <c r="V91" s="8"/>
      <c r="W91" s="8"/>
      <c r="X91" s="8"/>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112B0-990A-4D64-8EFF-BFDB1BDFA710}">
  <sheetPr>
    <tabColor theme="5" tint="0.39997558519241921"/>
  </sheetPr>
  <dimension ref="A1:X91"/>
  <sheetViews>
    <sheetView topLeftCell="H1" workbookViewId="0">
      <selection activeCell="Q8" sqref="Q8"/>
    </sheetView>
  </sheetViews>
  <sheetFormatPr defaultRowHeight="15" x14ac:dyDescent="0.25"/>
  <cols>
    <col min="1" max="1" width="18.85546875" style="2" bestFit="1" customWidth="1"/>
    <col min="2" max="2" width="18" style="2" bestFit="1" customWidth="1"/>
    <col min="3" max="3" width="14" style="2" bestFit="1" customWidth="1"/>
    <col min="4" max="4" width="9.85546875" style="2" bestFit="1" customWidth="1"/>
    <col min="5" max="5" width="10.5703125" style="2" bestFit="1" customWidth="1"/>
    <col min="6" max="6" width="11.7109375" style="2" bestFit="1" customWidth="1"/>
    <col min="7" max="7" width="10" style="2" bestFit="1" customWidth="1"/>
    <col min="8" max="8" width="20.85546875" style="2" bestFit="1" customWidth="1"/>
    <col min="9" max="9" width="10" style="2" bestFit="1" customWidth="1"/>
    <col min="10" max="10" width="14.28515625" style="2" bestFit="1" customWidth="1"/>
    <col min="11" max="11" width="15.28515625" style="2" bestFit="1" customWidth="1"/>
    <col min="12" max="12" width="11.85546875" style="31" bestFit="1" customWidth="1"/>
    <col min="13" max="13" width="12.140625" style="35" bestFit="1" customWidth="1"/>
    <col min="14" max="14" width="13.28515625" style="2" bestFit="1" customWidth="1"/>
    <col min="15" max="15" width="19" style="42" bestFit="1" customWidth="1"/>
    <col min="16" max="16" width="17.85546875" style="2" bestFit="1" customWidth="1"/>
    <col min="17" max="17" width="24.140625" style="2" bestFit="1" customWidth="1"/>
  </cols>
  <sheetData>
    <row r="1" spans="1:24" x14ac:dyDescent="0.25">
      <c r="A1" s="15" t="s">
        <v>238</v>
      </c>
      <c r="B1" s="16" t="s">
        <v>239</v>
      </c>
      <c r="C1" s="16" t="s">
        <v>240</v>
      </c>
      <c r="D1" s="16" t="s">
        <v>241</v>
      </c>
      <c r="E1" s="16" t="s">
        <v>242</v>
      </c>
      <c r="F1" s="16" t="s">
        <v>243</v>
      </c>
      <c r="G1" s="16" t="s">
        <v>244</v>
      </c>
      <c r="H1" s="16" t="s">
        <v>253</v>
      </c>
      <c r="I1" s="16" t="s">
        <v>245</v>
      </c>
      <c r="J1" s="16" t="s">
        <v>246</v>
      </c>
      <c r="K1" s="16" t="s">
        <v>247</v>
      </c>
      <c r="L1" s="29" t="s">
        <v>248</v>
      </c>
      <c r="M1" s="32" t="s">
        <v>249</v>
      </c>
      <c r="N1" s="16" t="s">
        <v>250</v>
      </c>
      <c r="O1" s="36" t="s">
        <v>251</v>
      </c>
      <c r="P1" s="16" t="s">
        <v>252</v>
      </c>
      <c r="Q1" s="37" t="s">
        <v>254</v>
      </c>
      <c r="R1" s="8"/>
      <c r="S1" s="8"/>
      <c r="T1" s="8"/>
      <c r="U1" s="8"/>
      <c r="V1" s="8"/>
      <c r="W1" s="8"/>
      <c r="X1" s="8"/>
    </row>
    <row r="2" spans="1:24" x14ac:dyDescent="0.25">
      <c r="A2" s="13" t="s">
        <v>41</v>
      </c>
      <c r="B2" s="1" t="s">
        <v>42</v>
      </c>
      <c r="C2" s="1" t="s">
        <v>13</v>
      </c>
      <c r="D2" s="1">
        <v>4</v>
      </c>
      <c r="E2" s="1">
        <v>0</v>
      </c>
      <c r="F2" s="1">
        <v>3</v>
      </c>
      <c r="G2" s="1"/>
      <c r="H2" s="1" t="str">
        <f t="shared" ref="H2:H33" si="0">IF(G2&gt;=100,"Excellent","Needs improvement")</f>
        <v>Needs improvement</v>
      </c>
      <c r="I2" s="1">
        <v>103684.88</v>
      </c>
      <c r="J2" s="1">
        <v>2023</v>
      </c>
      <c r="K2" s="1">
        <v>5.3</v>
      </c>
      <c r="L2" s="30" t="e">
        <f t="shared" ref="L2:L33" si="1">D2/G2</f>
        <v>#DIV/0!</v>
      </c>
      <c r="M2" s="33" t="e">
        <f t="shared" ref="M2:M33" si="2">E2/G2</f>
        <v>#DIV/0!</v>
      </c>
      <c r="N2" s="33" t="e">
        <f t="shared" ref="N2:N33" si="3">F2/G2</f>
        <v>#DIV/0!</v>
      </c>
      <c r="O2" s="38" t="e">
        <f t="shared" ref="O2:O33" si="4">I2/G2</f>
        <v>#DIV/0!</v>
      </c>
      <c r="P2" s="1" t="str">
        <f t="shared" ref="P2:P33" si="5">IF(I2&gt;=50000,"High GDP","Low GDP")</f>
        <v>High GDP</v>
      </c>
      <c r="Q2" s="39" t="str">
        <f t="shared" ref="Q2:Q33" si="6">IF(D2&gt;=20,"Top performer","Low performer")</f>
        <v>Low performer</v>
      </c>
      <c r="R2" s="8"/>
      <c r="S2" s="8"/>
      <c r="T2" s="8"/>
      <c r="U2" s="8"/>
      <c r="V2" s="8"/>
      <c r="W2" s="8"/>
      <c r="X2" s="8"/>
    </row>
    <row r="3" spans="1:24" x14ac:dyDescent="0.25">
      <c r="A3" s="13" t="s">
        <v>163</v>
      </c>
      <c r="B3" s="1" t="s">
        <v>164</v>
      </c>
      <c r="C3" s="1" t="s">
        <v>5</v>
      </c>
      <c r="D3" s="1">
        <v>0</v>
      </c>
      <c r="E3" s="1">
        <v>0</v>
      </c>
      <c r="F3" s="1">
        <v>3</v>
      </c>
      <c r="G3" s="1">
        <v>3</v>
      </c>
      <c r="H3" s="1" t="str">
        <f t="shared" si="0"/>
        <v>Needs improvement</v>
      </c>
      <c r="I3" s="1">
        <v>1188.99</v>
      </c>
      <c r="J3" s="1">
        <v>2023</v>
      </c>
      <c r="K3" s="1">
        <v>10.1</v>
      </c>
      <c r="L3" s="30">
        <f t="shared" si="1"/>
        <v>0</v>
      </c>
      <c r="M3" s="33">
        <f t="shared" si="2"/>
        <v>0</v>
      </c>
      <c r="N3" s="33">
        <f t="shared" si="3"/>
        <v>1</v>
      </c>
      <c r="O3" s="38">
        <f t="shared" si="4"/>
        <v>396.33</v>
      </c>
      <c r="P3" s="1" t="str">
        <f t="shared" si="5"/>
        <v>Low GDP</v>
      </c>
      <c r="Q3" s="39" t="str">
        <f t="shared" si="6"/>
        <v>Low performer</v>
      </c>
      <c r="R3" s="8"/>
      <c r="S3" s="8"/>
      <c r="T3" s="8"/>
      <c r="U3" s="8"/>
      <c r="V3" s="8"/>
      <c r="W3" s="8"/>
      <c r="X3" s="8"/>
    </row>
    <row r="4" spans="1:24" x14ac:dyDescent="0.25">
      <c r="A4" s="13" t="s">
        <v>165</v>
      </c>
      <c r="B4" s="1" t="s">
        <v>166</v>
      </c>
      <c r="C4" s="1" t="s">
        <v>13</v>
      </c>
      <c r="D4" s="1">
        <v>0</v>
      </c>
      <c r="E4" s="1">
        <v>0</v>
      </c>
      <c r="F4" s="1">
        <v>2</v>
      </c>
      <c r="G4" s="1">
        <v>2</v>
      </c>
      <c r="H4" s="1" t="str">
        <f t="shared" si="0"/>
        <v>Needs improvement</v>
      </c>
      <c r="I4" s="1">
        <v>8367.7800000000007</v>
      </c>
      <c r="J4" s="1">
        <v>2023</v>
      </c>
      <c r="K4" s="1">
        <v>2.7</v>
      </c>
      <c r="L4" s="30">
        <f t="shared" si="1"/>
        <v>0</v>
      </c>
      <c r="M4" s="33">
        <f t="shared" si="2"/>
        <v>0</v>
      </c>
      <c r="N4" s="33">
        <f t="shared" si="3"/>
        <v>1</v>
      </c>
      <c r="O4" s="38">
        <f t="shared" si="4"/>
        <v>4183.8900000000003</v>
      </c>
      <c r="P4" s="1" t="str">
        <f t="shared" si="5"/>
        <v>Low GDP</v>
      </c>
      <c r="Q4" s="39" t="str">
        <f t="shared" si="6"/>
        <v>Low performer</v>
      </c>
      <c r="R4" s="8"/>
      <c r="S4" s="8"/>
      <c r="T4" s="8"/>
      <c r="U4" s="8"/>
      <c r="V4" s="8"/>
      <c r="W4" s="8"/>
      <c r="X4" s="8"/>
    </row>
    <row r="5" spans="1:24" x14ac:dyDescent="0.25">
      <c r="A5" s="13" t="s">
        <v>167</v>
      </c>
      <c r="B5" s="1" t="s">
        <v>168</v>
      </c>
      <c r="C5" s="1" t="s">
        <v>120</v>
      </c>
      <c r="D5" s="1">
        <v>0</v>
      </c>
      <c r="E5" s="1">
        <v>0</v>
      </c>
      <c r="F5" s="1">
        <v>2</v>
      </c>
      <c r="G5" s="1">
        <v>2</v>
      </c>
      <c r="H5" s="1" t="str">
        <f t="shared" si="0"/>
        <v>Needs improvement</v>
      </c>
      <c r="I5" s="1">
        <v>10463.65</v>
      </c>
      <c r="J5" s="1">
        <v>2023</v>
      </c>
      <c r="K5" s="1">
        <v>0.1</v>
      </c>
      <c r="L5" s="30">
        <f t="shared" si="1"/>
        <v>0</v>
      </c>
      <c r="M5" s="33">
        <f t="shared" si="2"/>
        <v>0</v>
      </c>
      <c r="N5" s="33">
        <f t="shared" si="3"/>
        <v>1</v>
      </c>
      <c r="O5" s="38">
        <f t="shared" si="4"/>
        <v>5231.8249999999998</v>
      </c>
      <c r="P5" s="1" t="str">
        <f t="shared" si="5"/>
        <v>Low GDP</v>
      </c>
      <c r="Q5" s="39" t="str">
        <f t="shared" si="6"/>
        <v>Low performer</v>
      </c>
      <c r="R5" s="8"/>
      <c r="S5" s="8"/>
      <c r="T5" s="8"/>
      <c r="U5" s="8"/>
      <c r="V5" s="8"/>
      <c r="W5" s="8"/>
      <c r="X5" s="8"/>
    </row>
    <row r="6" spans="1:24" x14ac:dyDescent="0.25">
      <c r="A6" s="13" t="s">
        <v>169</v>
      </c>
      <c r="B6" s="1" t="s">
        <v>170</v>
      </c>
      <c r="C6" s="1" t="s">
        <v>5</v>
      </c>
      <c r="D6" s="1">
        <v>0</v>
      </c>
      <c r="E6" s="1">
        <v>0</v>
      </c>
      <c r="F6" s="1">
        <v>2</v>
      </c>
      <c r="G6" s="1">
        <v>2</v>
      </c>
      <c r="H6" s="1" t="str">
        <f t="shared" si="0"/>
        <v>Needs improvement</v>
      </c>
      <c r="I6" s="1">
        <v>11648.67</v>
      </c>
      <c r="J6" s="1">
        <v>2023</v>
      </c>
      <c r="K6" s="1">
        <v>34.299999999999997</v>
      </c>
      <c r="L6" s="30">
        <f t="shared" si="1"/>
        <v>0</v>
      </c>
      <c r="M6" s="33">
        <f t="shared" si="2"/>
        <v>0</v>
      </c>
      <c r="N6" s="33">
        <f t="shared" si="3"/>
        <v>1</v>
      </c>
      <c r="O6" s="38">
        <f t="shared" si="4"/>
        <v>5824.335</v>
      </c>
      <c r="P6" s="1" t="str">
        <f t="shared" si="5"/>
        <v>Low GDP</v>
      </c>
      <c r="Q6" s="39" t="str">
        <f t="shared" si="6"/>
        <v>Low performer</v>
      </c>
      <c r="R6" s="8"/>
      <c r="S6" s="8"/>
      <c r="T6" s="8"/>
      <c r="U6" s="8"/>
      <c r="V6" s="8"/>
      <c r="W6" s="8"/>
      <c r="X6" s="8"/>
    </row>
    <row r="7" spans="1:24" x14ac:dyDescent="0.25">
      <c r="A7" s="13" t="s">
        <v>171</v>
      </c>
      <c r="B7" s="1" t="s">
        <v>172</v>
      </c>
      <c r="C7" s="1" t="s">
        <v>120</v>
      </c>
      <c r="D7" s="1">
        <v>0</v>
      </c>
      <c r="E7" s="1">
        <v>0</v>
      </c>
      <c r="F7" s="1">
        <v>2</v>
      </c>
      <c r="G7" s="1">
        <v>2</v>
      </c>
      <c r="H7" s="1" t="str">
        <f t="shared" si="0"/>
        <v>Needs improvement</v>
      </c>
      <c r="I7" s="1">
        <v>36779.06</v>
      </c>
      <c r="J7" s="1">
        <v>2023</v>
      </c>
      <c r="K7" s="1">
        <v>3.2</v>
      </c>
      <c r="L7" s="30">
        <f t="shared" si="1"/>
        <v>0</v>
      </c>
      <c r="M7" s="33">
        <f t="shared" si="2"/>
        <v>0</v>
      </c>
      <c r="N7" s="33">
        <f t="shared" si="3"/>
        <v>1</v>
      </c>
      <c r="O7" s="38">
        <f t="shared" si="4"/>
        <v>18389.53</v>
      </c>
      <c r="P7" s="1" t="str">
        <f t="shared" si="5"/>
        <v>Low GDP</v>
      </c>
      <c r="Q7" s="39" t="str">
        <f t="shared" si="6"/>
        <v>Low performer</v>
      </c>
      <c r="R7" s="8"/>
      <c r="S7" s="8"/>
      <c r="T7" s="8"/>
      <c r="U7" s="8"/>
      <c r="V7" s="8"/>
      <c r="W7" s="8"/>
      <c r="X7" s="8"/>
    </row>
    <row r="8" spans="1:24" x14ac:dyDescent="0.25">
      <c r="A8" s="13" t="s">
        <v>173</v>
      </c>
      <c r="B8" s="1" t="s">
        <v>174</v>
      </c>
      <c r="C8" s="1" t="s">
        <v>38</v>
      </c>
      <c r="D8" s="1">
        <v>0</v>
      </c>
      <c r="E8" s="1">
        <v>0</v>
      </c>
      <c r="F8" s="1">
        <v>1</v>
      </c>
      <c r="G8" s="1">
        <v>1</v>
      </c>
      <c r="H8" s="1" t="str">
        <f t="shared" si="0"/>
        <v>Needs improvement</v>
      </c>
      <c r="I8" s="1">
        <v>4321.58</v>
      </c>
      <c r="J8" s="1">
        <v>2023</v>
      </c>
      <c r="K8" s="1">
        <v>0.6</v>
      </c>
      <c r="L8" s="30">
        <f t="shared" si="1"/>
        <v>0</v>
      </c>
      <c r="M8" s="33">
        <f t="shared" si="2"/>
        <v>0</v>
      </c>
      <c r="N8" s="33">
        <f t="shared" si="3"/>
        <v>1</v>
      </c>
      <c r="O8" s="38">
        <f t="shared" si="4"/>
        <v>4321.58</v>
      </c>
      <c r="P8" s="1" t="str">
        <f t="shared" si="5"/>
        <v>Low GDP</v>
      </c>
      <c r="Q8" s="39" t="str">
        <f t="shared" si="6"/>
        <v>Low performer</v>
      </c>
      <c r="R8" s="8"/>
      <c r="S8" s="8"/>
      <c r="T8" s="8"/>
      <c r="U8" s="8"/>
      <c r="V8" s="8"/>
      <c r="W8" s="8"/>
      <c r="X8" s="8"/>
    </row>
    <row r="9" spans="1:24" x14ac:dyDescent="0.25">
      <c r="A9" s="13" t="s">
        <v>175</v>
      </c>
      <c r="B9" s="1" t="s">
        <v>176</v>
      </c>
      <c r="C9" s="1" t="s">
        <v>38</v>
      </c>
      <c r="D9" s="1">
        <v>0</v>
      </c>
      <c r="E9" s="1">
        <v>0</v>
      </c>
      <c r="F9" s="1">
        <v>1</v>
      </c>
      <c r="G9" s="1">
        <v>1</v>
      </c>
      <c r="H9" s="1" t="str">
        <f t="shared" si="0"/>
        <v>Needs improvement</v>
      </c>
      <c r="I9" s="1">
        <v>2728.8</v>
      </c>
      <c r="J9" s="1">
        <v>2023</v>
      </c>
      <c r="K9" s="1">
        <v>28.9</v>
      </c>
      <c r="L9" s="30">
        <f t="shared" si="1"/>
        <v>0</v>
      </c>
      <c r="M9" s="33">
        <f t="shared" si="2"/>
        <v>0</v>
      </c>
      <c r="N9" s="33">
        <f t="shared" si="3"/>
        <v>1</v>
      </c>
      <c r="O9" s="38">
        <f t="shared" si="4"/>
        <v>2728.8</v>
      </c>
      <c r="P9" s="1" t="str">
        <f t="shared" si="5"/>
        <v>Low GDP</v>
      </c>
      <c r="Q9" s="39" t="str">
        <f t="shared" si="6"/>
        <v>Low performer</v>
      </c>
      <c r="R9" s="8"/>
      <c r="S9" s="8"/>
      <c r="T9" s="8"/>
      <c r="U9" s="8"/>
      <c r="V9" s="8"/>
      <c r="W9" s="8"/>
      <c r="X9" s="8"/>
    </row>
    <row r="10" spans="1:24" x14ac:dyDescent="0.25">
      <c r="A10" s="13" t="s">
        <v>177</v>
      </c>
      <c r="B10" s="1" t="s">
        <v>178</v>
      </c>
      <c r="C10" s="1" t="s">
        <v>45</v>
      </c>
      <c r="D10" s="1">
        <v>0</v>
      </c>
      <c r="E10" s="1">
        <v>0</v>
      </c>
      <c r="F10" s="1">
        <v>1</v>
      </c>
      <c r="G10" s="1">
        <v>1</v>
      </c>
      <c r="H10" s="1" t="str">
        <f t="shared" si="0"/>
        <v>Needs improvement</v>
      </c>
      <c r="I10" s="1">
        <v>7789.87</v>
      </c>
      <c r="J10" s="1">
        <v>2023</v>
      </c>
      <c r="K10" s="1">
        <v>34.4</v>
      </c>
      <c r="L10" s="30">
        <f t="shared" si="1"/>
        <v>0</v>
      </c>
      <c r="M10" s="33">
        <f t="shared" si="2"/>
        <v>0</v>
      </c>
      <c r="N10" s="33">
        <f t="shared" si="3"/>
        <v>1</v>
      </c>
      <c r="O10" s="38">
        <f t="shared" si="4"/>
        <v>7789.87</v>
      </c>
      <c r="P10" s="1" t="str">
        <f t="shared" si="5"/>
        <v>Low GDP</v>
      </c>
      <c r="Q10" s="39" t="str">
        <f t="shared" si="6"/>
        <v>Low performer</v>
      </c>
      <c r="R10" s="8"/>
      <c r="S10" s="8"/>
      <c r="T10" s="8"/>
      <c r="U10" s="8"/>
      <c r="V10" s="8"/>
      <c r="W10" s="8"/>
      <c r="X10" s="8"/>
    </row>
    <row r="11" spans="1:24" x14ac:dyDescent="0.25">
      <c r="A11" s="13" t="s">
        <v>179</v>
      </c>
      <c r="B11" s="1" t="s">
        <v>180</v>
      </c>
      <c r="C11" s="1" t="s">
        <v>5</v>
      </c>
      <c r="D11" s="1">
        <v>0</v>
      </c>
      <c r="E11" s="1">
        <v>0</v>
      </c>
      <c r="F11" s="1">
        <v>1</v>
      </c>
      <c r="G11" s="1">
        <v>1</v>
      </c>
      <c r="H11" s="1" t="str">
        <f t="shared" si="0"/>
        <v>Needs improvement</v>
      </c>
      <c r="I11" s="1">
        <v>87480.42</v>
      </c>
      <c r="J11" s="1">
        <v>2022</v>
      </c>
      <c r="K11" s="1">
        <v>2.7</v>
      </c>
      <c r="L11" s="30">
        <f t="shared" si="1"/>
        <v>0</v>
      </c>
      <c r="M11" s="33">
        <f t="shared" si="2"/>
        <v>0</v>
      </c>
      <c r="N11" s="33">
        <f t="shared" si="3"/>
        <v>1</v>
      </c>
      <c r="O11" s="38">
        <f t="shared" si="4"/>
        <v>87480.42</v>
      </c>
      <c r="P11" s="1" t="str">
        <f t="shared" si="5"/>
        <v>High GDP</v>
      </c>
      <c r="Q11" s="39" t="str">
        <f t="shared" si="6"/>
        <v>Low performer</v>
      </c>
      <c r="R11" s="8"/>
      <c r="S11" s="8"/>
      <c r="T11" s="8"/>
      <c r="U11" s="8"/>
      <c r="V11" s="8"/>
      <c r="W11" s="8"/>
      <c r="X11" s="8"/>
    </row>
    <row r="12" spans="1:24" x14ac:dyDescent="0.25">
      <c r="A12" s="13" t="s">
        <v>181</v>
      </c>
      <c r="B12" s="1" t="s">
        <v>182</v>
      </c>
      <c r="C12" s="1" t="s">
        <v>5</v>
      </c>
      <c r="D12" s="1">
        <v>0</v>
      </c>
      <c r="E12" s="1">
        <v>0</v>
      </c>
      <c r="F12" s="1">
        <v>1</v>
      </c>
      <c r="G12" s="1">
        <v>1</v>
      </c>
      <c r="H12" s="1" t="str">
        <f t="shared" si="0"/>
        <v>Needs improvement</v>
      </c>
      <c r="I12" s="1">
        <v>84734.26</v>
      </c>
      <c r="J12" s="1">
        <v>2023</v>
      </c>
      <c r="K12" s="1">
        <v>5.9</v>
      </c>
      <c r="L12" s="30">
        <f t="shared" si="1"/>
        <v>0</v>
      </c>
      <c r="M12" s="33">
        <f t="shared" si="2"/>
        <v>0</v>
      </c>
      <c r="N12" s="33">
        <f t="shared" si="3"/>
        <v>1</v>
      </c>
      <c r="O12" s="38">
        <f t="shared" si="4"/>
        <v>84734.26</v>
      </c>
      <c r="P12" s="1" t="str">
        <f t="shared" si="5"/>
        <v>High GDP</v>
      </c>
      <c r="Q12" s="39" t="str">
        <f t="shared" si="6"/>
        <v>Low performer</v>
      </c>
      <c r="R12" s="8"/>
      <c r="S12" s="8"/>
      <c r="T12" s="8"/>
      <c r="U12" s="8"/>
      <c r="V12" s="8"/>
      <c r="W12" s="8"/>
      <c r="X12" s="8"/>
    </row>
    <row r="13" spans="1:24" x14ac:dyDescent="0.25">
      <c r="A13" s="13" t="s">
        <v>183</v>
      </c>
      <c r="B13" s="1" t="s">
        <v>184</v>
      </c>
      <c r="C13" s="1" t="s">
        <v>13</v>
      </c>
      <c r="D13" s="1">
        <v>0</v>
      </c>
      <c r="E13" s="1">
        <v>0</v>
      </c>
      <c r="F13" s="1">
        <v>1</v>
      </c>
      <c r="G13" s="1">
        <v>1</v>
      </c>
      <c r="H13" s="1" t="str">
        <f t="shared" si="0"/>
        <v>Needs improvement</v>
      </c>
      <c r="I13" s="1">
        <v>24470.240000000002</v>
      </c>
      <c r="J13" s="1">
        <v>2023</v>
      </c>
      <c r="K13" s="1">
        <v>5.4</v>
      </c>
      <c r="L13" s="30">
        <f t="shared" si="1"/>
        <v>0</v>
      </c>
      <c r="M13" s="33">
        <f t="shared" si="2"/>
        <v>0</v>
      </c>
      <c r="N13" s="33">
        <f t="shared" si="3"/>
        <v>1</v>
      </c>
      <c r="O13" s="38">
        <f t="shared" si="4"/>
        <v>24470.240000000002</v>
      </c>
      <c r="P13" s="1" t="str">
        <f t="shared" si="5"/>
        <v>Low GDP</v>
      </c>
      <c r="Q13" s="39" t="str">
        <f t="shared" si="6"/>
        <v>Low performer</v>
      </c>
      <c r="R13" s="8"/>
      <c r="S13" s="8"/>
      <c r="T13" s="8"/>
      <c r="U13" s="8"/>
      <c r="V13" s="8"/>
      <c r="W13" s="8"/>
      <c r="X13" s="8"/>
    </row>
    <row r="14" spans="1:24" x14ac:dyDescent="0.25">
      <c r="A14" s="13" t="s">
        <v>185</v>
      </c>
      <c r="B14" s="1" t="s">
        <v>186</v>
      </c>
      <c r="C14" s="1" t="s">
        <v>38</v>
      </c>
      <c r="D14" s="1">
        <v>0</v>
      </c>
      <c r="E14" s="1">
        <v>0</v>
      </c>
      <c r="F14" s="1">
        <v>1</v>
      </c>
      <c r="G14" s="1">
        <v>1</v>
      </c>
      <c r="H14" s="1" t="str">
        <f t="shared" si="0"/>
        <v>Needs improvement</v>
      </c>
      <c r="I14" s="1">
        <v>1369.13</v>
      </c>
      <c r="J14" s="1">
        <v>2023</v>
      </c>
      <c r="K14" s="1">
        <v>20.6</v>
      </c>
      <c r="L14" s="30">
        <f t="shared" si="1"/>
        <v>0</v>
      </c>
      <c r="M14" s="33">
        <f t="shared" si="2"/>
        <v>0</v>
      </c>
      <c r="N14" s="33">
        <f t="shared" si="3"/>
        <v>1</v>
      </c>
      <c r="O14" s="38">
        <f t="shared" si="4"/>
        <v>1369.13</v>
      </c>
      <c r="P14" s="1" t="str">
        <f t="shared" si="5"/>
        <v>Low GDP</v>
      </c>
      <c r="Q14" s="39" t="str">
        <f t="shared" si="6"/>
        <v>Low performer</v>
      </c>
      <c r="R14" s="8"/>
      <c r="S14" s="8"/>
      <c r="T14" s="8"/>
      <c r="U14" s="8"/>
      <c r="V14" s="8"/>
      <c r="W14" s="8"/>
      <c r="X14" s="8"/>
    </row>
    <row r="15" spans="1:24" x14ac:dyDescent="0.25">
      <c r="A15" s="13" t="s">
        <v>147</v>
      </c>
      <c r="B15" s="1" t="s">
        <v>148</v>
      </c>
      <c r="C15" s="1" t="s">
        <v>5</v>
      </c>
      <c r="D15" s="1">
        <v>0</v>
      </c>
      <c r="E15" s="1">
        <v>1</v>
      </c>
      <c r="F15" s="1">
        <v>5</v>
      </c>
      <c r="G15" s="1">
        <v>6</v>
      </c>
      <c r="H15" s="1" t="str">
        <f t="shared" si="0"/>
        <v>Needs improvement</v>
      </c>
      <c r="I15" s="1">
        <v>2484.85</v>
      </c>
      <c r="J15" s="1">
        <v>2023</v>
      </c>
      <c r="K15" s="1">
        <v>1428.6</v>
      </c>
      <c r="L15" s="30">
        <f t="shared" si="1"/>
        <v>0</v>
      </c>
      <c r="M15" s="33">
        <f t="shared" si="2"/>
        <v>0.16666666666666666</v>
      </c>
      <c r="N15" s="33">
        <f t="shared" si="3"/>
        <v>0.83333333333333337</v>
      </c>
      <c r="O15" s="38">
        <f t="shared" si="4"/>
        <v>414.14166666666665</v>
      </c>
      <c r="P15" s="1" t="str">
        <f t="shared" si="5"/>
        <v>Low GDP</v>
      </c>
      <c r="Q15" s="39" t="str">
        <f t="shared" si="6"/>
        <v>Low performer</v>
      </c>
      <c r="R15" s="8"/>
      <c r="S15" s="8"/>
      <c r="T15" s="8"/>
      <c r="U15" s="8"/>
      <c r="V15" s="8"/>
      <c r="W15" s="8"/>
      <c r="X15" s="8"/>
    </row>
    <row r="16" spans="1:24" x14ac:dyDescent="0.25">
      <c r="A16" s="13" t="s">
        <v>106</v>
      </c>
      <c r="B16" s="1" t="s">
        <v>107</v>
      </c>
      <c r="C16" s="1" t="s">
        <v>13</v>
      </c>
      <c r="D16" s="1">
        <v>1</v>
      </c>
      <c r="E16" s="1">
        <v>1</v>
      </c>
      <c r="F16" s="1">
        <v>6</v>
      </c>
      <c r="G16" s="1">
        <v>8</v>
      </c>
      <c r="H16" s="1" t="str">
        <f t="shared" si="0"/>
        <v>Needs improvement</v>
      </c>
      <c r="I16" s="1">
        <v>22990.01</v>
      </c>
      <c r="J16" s="1">
        <v>2023</v>
      </c>
      <c r="K16" s="1">
        <v>10.4</v>
      </c>
      <c r="L16" s="30">
        <f t="shared" si="1"/>
        <v>0.125</v>
      </c>
      <c r="M16" s="33">
        <f t="shared" si="2"/>
        <v>0.125</v>
      </c>
      <c r="N16" s="33">
        <f t="shared" si="3"/>
        <v>0.75</v>
      </c>
      <c r="O16" s="38">
        <f t="shared" si="4"/>
        <v>2873.7512499999998</v>
      </c>
      <c r="P16" s="1" t="str">
        <f t="shared" si="5"/>
        <v>Low GDP</v>
      </c>
      <c r="Q16" s="39" t="str">
        <f t="shared" si="6"/>
        <v>Low performer</v>
      </c>
      <c r="R16" s="8"/>
      <c r="S16" s="8"/>
      <c r="T16" s="8"/>
      <c r="U16" s="8"/>
      <c r="V16" s="8"/>
      <c r="W16" s="8"/>
      <c r="X16" s="8"/>
    </row>
    <row r="17" spans="1:24" x14ac:dyDescent="0.25">
      <c r="A17" s="13" t="s">
        <v>149</v>
      </c>
      <c r="B17" s="1" t="s">
        <v>150</v>
      </c>
      <c r="C17" s="1" t="s">
        <v>13</v>
      </c>
      <c r="D17" s="1">
        <v>0</v>
      </c>
      <c r="E17" s="1">
        <v>1</v>
      </c>
      <c r="F17" s="1">
        <v>3</v>
      </c>
      <c r="G17" s="1">
        <v>4</v>
      </c>
      <c r="H17" s="1" t="str">
        <f t="shared" si="0"/>
        <v>Needs improvement</v>
      </c>
      <c r="I17" s="1">
        <v>6650.65</v>
      </c>
      <c r="J17" s="1">
        <v>2023</v>
      </c>
      <c r="K17" s="1">
        <v>2.5</v>
      </c>
      <c r="L17" s="30">
        <f t="shared" si="1"/>
        <v>0</v>
      </c>
      <c r="M17" s="33">
        <f t="shared" si="2"/>
        <v>0.25</v>
      </c>
      <c r="N17" s="33">
        <f t="shared" si="3"/>
        <v>0.75</v>
      </c>
      <c r="O17" s="38">
        <f t="shared" si="4"/>
        <v>1662.6624999999999</v>
      </c>
      <c r="P17" s="1" t="str">
        <f t="shared" si="5"/>
        <v>Low GDP</v>
      </c>
      <c r="Q17" s="39" t="str">
        <f t="shared" si="6"/>
        <v>Low performer</v>
      </c>
      <c r="R17" s="8"/>
      <c r="S17" s="8"/>
      <c r="T17" s="8"/>
      <c r="U17" s="8"/>
      <c r="V17" s="8"/>
      <c r="W17" s="8"/>
      <c r="X17" s="8"/>
    </row>
    <row r="18" spans="1:24" x14ac:dyDescent="0.25">
      <c r="A18" s="13" t="s">
        <v>74</v>
      </c>
      <c r="B18" s="1" t="s">
        <v>75</v>
      </c>
      <c r="C18" s="1" t="s">
        <v>5</v>
      </c>
      <c r="D18" s="1">
        <v>2</v>
      </c>
      <c r="E18" s="1">
        <v>0</v>
      </c>
      <c r="F18" s="1">
        <v>5</v>
      </c>
      <c r="G18" s="1">
        <v>7</v>
      </c>
      <c r="H18" s="1" t="str">
        <f t="shared" si="0"/>
        <v>Needs improvement</v>
      </c>
      <c r="I18" s="1">
        <v>32443.71</v>
      </c>
      <c r="J18" s="1">
        <v>2023</v>
      </c>
      <c r="K18" s="1">
        <v>23.2</v>
      </c>
      <c r="L18" s="30">
        <f t="shared" si="1"/>
        <v>0.2857142857142857</v>
      </c>
      <c r="M18" s="33">
        <f t="shared" si="2"/>
        <v>0</v>
      </c>
      <c r="N18" s="33">
        <f t="shared" si="3"/>
        <v>0.7142857142857143</v>
      </c>
      <c r="O18" s="38">
        <f t="shared" si="4"/>
        <v>4634.8157142857144</v>
      </c>
      <c r="P18" s="1" t="str">
        <f t="shared" si="5"/>
        <v>Low GDP</v>
      </c>
      <c r="Q18" s="39" t="str">
        <f t="shared" si="6"/>
        <v>Low performer</v>
      </c>
      <c r="R18" s="8"/>
      <c r="S18" s="8"/>
      <c r="T18" s="8"/>
      <c r="U18" s="8"/>
      <c r="V18" s="8"/>
      <c r="W18" s="8"/>
      <c r="X18" s="8"/>
    </row>
    <row r="19" spans="1:24" x14ac:dyDescent="0.25">
      <c r="A19" s="13" t="s">
        <v>123</v>
      </c>
      <c r="B19" s="1" t="s">
        <v>124</v>
      </c>
      <c r="C19" s="1" t="s">
        <v>2</v>
      </c>
      <c r="D19" s="1">
        <v>1</v>
      </c>
      <c r="E19" s="1">
        <v>0</v>
      </c>
      <c r="F19" s="1">
        <v>2</v>
      </c>
      <c r="G19" s="1">
        <v>3</v>
      </c>
      <c r="H19" s="1" t="str">
        <f t="shared" si="0"/>
        <v>Needs improvement</v>
      </c>
      <c r="I19" s="1">
        <v>10716.01</v>
      </c>
      <c r="J19" s="1">
        <v>2023</v>
      </c>
      <c r="K19" s="1">
        <v>11.3</v>
      </c>
      <c r="L19" s="30">
        <f t="shared" si="1"/>
        <v>0.33333333333333331</v>
      </c>
      <c r="M19" s="33">
        <f t="shared" si="2"/>
        <v>0</v>
      </c>
      <c r="N19" s="33">
        <f t="shared" si="3"/>
        <v>0.66666666666666663</v>
      </c>
      <c r="O19" s="38">
        <f t="shared" si="4"/>
        <v>3572.0033333333336</v>
      </c>
      <c r="P19" s="1" t="str">
        <f t="shared" si="5"/>
        <v>Low GDP</v>
      </c>
      <c r="Q19" s="39" t="str">
        <f t="shared" si="6"/>
        <v>Low performer</v>
      </c>
      <c r="R19" s="8"/>
      <c r="S19" s="8"/>
      <c r="T19" s="8"/>
      <c r="U19" s="8"/>
      <c r="V19" s="8"/>
      <c r="W19" s="8"/>
      <c r="X19" s="8"/>
    </row>
    <row r="20" spans="1:24" x14ac:dyDescent="0.25">
      <c r="A20" s="13" t="s">
        <v>68</v>
      </c>
      <c r="B20" s="1" t="s">
        <v>69</v>
      </c>
      <c r="C20" s="1" t="s">
        <v>2</v>
      </c>
      <c r="D20" s="1">
        <v>2</v>
      </c>
      <c r="E20" s="1">
        <v>1</v>
      </c>
      <c r="F20" s="1">
        <v>6</v>
      </c>
      <c r="G20" s="1">
        <v>9</v>
      </c>
      <c r="H20" s="1" t="str">
        <f t="shared" si="0"/>
        <v>Needs improvement</v>
      </c>
      <c r="I20" s="1">
        <v>56495.85</v>
      </c>
      <c r="J20" s="1">
        <v>2022</v>
      </c>
      <c r="K20" s="1">
        <v>11.2</v>
      </c>
      <c r="L20" s="30">
        <f t="shared" si="1"/>
        <v>0.22222222222222221</v>
      </c>
      <c r="M20" s="33">
        <f t="shared" si="2"/>
        <v>0.1111111111111111</v>
      </c>
      <c r="N20" s="33">
        <f t="shared" si="3"/>
        <v>0.66666666666666663</v>
      </c>
      <c r="O20" s="38">
        <f t="shared" si="4"/>
        <v>6277.3166666666666</v>
      </c>
      <c r="P20" s="1" t="str">
        <f t="shared" si="5"/>
        <v>High GDP</v>
      </c>
      <c r="Q20" s="39" t="str">
        <f t="shared" si="6"/>
        <v>Low performer</v>
      </c>
      <c r="R20" s="8"/>
      <c r="S20" s="8"/>
      <c r="T20" s="8"/>
      <c r="U20" s="8"/>
      <c r="V20" s="8"/>
      <c r="W20" s="8"/>
      <c r="X20" s="8"/>
    </row>
    <row r="21" spans="1:24" x14ac:dyDescent="0.25">
      <c r="A21" s="13" t="s">
        <v>141</v>
      </c>
      <c r="B21" s="1" t="s">
        <v>142</v>
      </c>
      <c r="C21" s="1" t="s">
        <v>5</v>
      </c>
      <c r="D21" s="1">
        <v>0</v>
      </c>
      <c r="E21" s="1">
        <v>2</v>
      </c>
      <c r="F21" s="1">
        <v>4</v>
      </c>
      <c r="G21" s="1">
        <v>6</v>
      </c>
      <c r="H21" s="1" t="str">
        <f t="shared" si="0"/>
        <v>Needs improvement</v>
      </c>
      <c r="I21" s="1">
        <v>1217</v>
      </c>
      <c r="J21" s="1">
        <v>2023</v>
      </c>
      <c r="K21" s="1">
        <v>26.2</v>
      </c>
      <c r="L21" s="30">
        <f t="shared" si="1"/>
        <v>0</v>
      </c>
      <c r="M21" s="33">
        <f t="shared" si="2"/>
        <v>0.33333333333333331</v>
      </c>
      <c r="N21" s="33">
        <f t="shared" si="3"/>
        <v>0.66666666666666663</v>
      </c>
      <c r="O21" s="38">
        <f t="shared" si="4"/>
        <v>202.83333333333334</v>
      </c>
      <c r="P21" s="1" t="str">
        <f t="shared" si="5"/>
        <v>Low GDP</v>
      </c>
      <c r="Q21" s="39" t="str">
        <f t="shared" si="6"/>
        <v>Low performer</v>
      </c>
      <c r="R21" s="8"/>
      <c r="S21" s="8"/>
      <c r="T21" s="8"/>
      <c r="U21" s="8"/>
      <c r="V21" s="8"/>
      <c r="W21" s="8"/>
      <c r="X21" s="8"/>
    </row>
    <row r="22" spans="1:24" x14ac:dyDescent="0.25">
      <c r="A22" s="13" t="s">
        <v>143</v>
      </c>
      <c r="B22" s="1" t="s">
        <v>144</v>
      </c>
      <c r="C22" s="1" t="s">
        <v>5</v>
      </c>
      <c r="D22" s="1">
        <v>0</v>
      </c>
      <c r="E22" s="1">
        <v>2</v>
      </c>
      <c r="F22" s="1">
        <v>4</v>
      </c>
      <c r="G22" s="1">
        <v>6</v>
      </c>
      <c r="H22" s="1" t="str">
        <f t="shared" si="0"/>
        <v>Needs improvement</v>
      </c>
      <c r="I22" s="1">
        <v>1969.87</v>
      </c>
      <c r="J22" s="1">
        <v>2023</v>
      </c>
      <c r="K22" s="1">
        <v>7.1</v>
      </c>
      <c r="L22" s="30">
        <f t="shared" si="1"/>
        <v>0</v>
      </c>
      <c r="M22" s="33">
        <f t="shared" si="2"/>
        <v>0.33333333333333331</v>
      </c>
      <c r="N22" s="33">
        <f t="shared" si="3"/>
        <v>0.66666666666666663</v>
      </c>
      <c r="O22" s="38">
        <f t="shared" si="4"/>
        <v>328.31166666666667</v>
      </c>
      <c r="P22" s="1" t="str">
        <f t="shared" si="5"/>
        <v>Low GDP</v>
      </c>
      <c r="Q22" s="39" t="str">
        <f t="shared" si="6"/>
        <v>Low performer</v>
      </c>
      <c r="R22" s="8"/>
      <c r="S22" s="8"/>
      <c r="T22" s="8"/>
      <c r="U22" s="8"/>
      <c r="V22" s="8"/>
      <c r="W22" s="8"/>
      <c r="X22" s="8"/>
    </row>
    <row r="23" spans="1:24" x14ac:dyDescent="0.25">
      <c r="A23" s="13" t="s">
        <v>100</v>
      </c>
      <c r="B23" s="1" t="s">
        <v>101</v>
      </c>
      <c r="C23" s="1" t="s">
        <v>13</v>
      </c>
      <c r="D23" s="1">
        <v>1</v>
      </c>
      <c r="E23" s="1">
        <v>2</v>
      </c>
      <c r="F23" s="1">
        <v>5</v>
      </c>
      <c r="G23" s="1">
        <v>8</v>
      </c>
      <c r="H23" s="1" t="str">
        <f t="shared" si="0"/>
        <v>Needs improvement</v>
      </c>
      <c r="I23" s="1">
        <v>99994.94</v>
      </c>
      <c r="J23" s="1">
        <v>2023</v>
      </c>
      <c r="K23" s="1">
        <v>8.8000000000000007</v>
      </c>
      <c r="L23" s="30">
        <f t="shared" si="1"/>
        <v>0.125</v>
      </c>
      <c r="M23" s="33">
        <f t="shared" si="2"/>
        <v>0.25</v>
      </c>
      <c r="N23" s="33">
        <f t="shared" si="3"/>
        <v>0.625</v>
      </c>
      <c r="O23" s="38">
        <f t="shared" si="4"/>
        <v>12499.3675</v>
      </c>
      <c r="P23" s="1" t="str">
        <f t="shared" si="5"/>
        <v>High GDP</v>
      </c>
      <c r="Q23" s="39" t="str">
        <f t="shared" si="6"/>
        <v>Low performer</v>
      </c>
      <c r="R23" s="8"/>
      <c r="S23" s="8"/>
      <c r="T23" s="8"/>
      <c r="U23" s="8"/>
      <c r="V23" s="8"/>
      <c r="W23" s="8"/>
      <c r="X23" s="8"/>
    </row>
    <row r="24" spans="1:24" x14ac:dyDescent="0.25">
      <c r="A24" s="13" t="s">
        <v>133</v>
      </c>
      <c r="B24" s="1" t="s">
        <v>134</v>
      </c>
      <c r="C24" s="1" t="s">
        <v>5</v>
      </c>
      <c r="D24" s="1">
        <v>0</v>
      </c>
      <c r="E24" s="1">
        <v>3</v>
      </c>
      <c r="F24" s="1">
        <v>5</v>
      </c>
      <c r="G24" s="1">
        <v>8</v>
      </c>
      <c r="H24" s="1" t="str">
        <f t="shared" si="0"/>
        <v>Needs improvement</v>
      </c>
      <c r="I24" s="1">
        <v>12985.75</v>
      </c>
      <c r="J24" s="1">
        <v>2023</v>
      </c>
      <c r="K24" s="1">
        <v>85.3</v>
      </c>
      <c r="L24" s="30">
        <f t="shared" si="1"/>
        <v>0</v>
      </c>
      <c r="M24" s="33">
        <f t="shared" si="2"/>
        <v>0.375</v>
      </c>
      <c r="N24" s="33">
        <f t="shared" si="3"/>
        <v>0.625</v>
      </c>
      <c r="O24" s="38">
        <f t="shared" si="4"/>
        <v>1623.21875</v>
      </c>
      <c r="P24" s="1" t="str">
        <f t="shared" si="5"/>
        <v>Low GDP</v>
      </c>
      <c r="Q24" s="39" t="str">
        <f t="shared" si="6"/>
        <v>Low performer</v>
      </c>
      <c r="R24" s="8"/>
      <c r="S24" s="8"/>
      <c r="T24" s="8"/>
      <c r="U24" s="8"/>
      <c r="V24" s="8"/>
      <c r="W24" s="8"/>
      <c r="X24" s="8"/>
    </row>
    <row r="25" spans="1:24" x14ac:dyDescent="0.25">
      <c r="A25" s="13" t="s">
        <v>76</v>
      </c>
      <c r="B25" s="1" t="s">
        <v>77</v>
      </c>
      <c r="C25" s="1" t="s">
        <v>13</v>
      </c>
      <c r="D25" s="1">
        <v>2</v>
      </c>
      <c r="E25" s="1">
        <v>0</v>
      </c>
      <c r="F25" s="1">
        <v>3</v>
      </c>
      <c r="G25" s="1">
        <v>5</v>
      </c>
      <c r="H25" s="1" t="str">
        <f t="shared" si="0"/>
        <v>Needs improvement</v>
      </c>
      <c r="I25" s="1">
        <v>56505.97</v>
      </c>
      <c r="J25" s="1">
        <v>2023</v>
      </c>
      <c r="K25" s="1">
        <v>9.1</v>
      </c>
      <c r="L25" s="30">
        <f t="shared" si="1"/>
        <v>0.4</v>
      </c>
      <c r="M25" s="33">
        <f t="shared" si="2"/>
        <v>0</v>
      </c>
      <c r="N25" s="33">
        <f t="shared" si="3"/>
        <v>0.6</v>
      </c>
      <c r="O25" s="38">
        <f t="shared" si="4"/>
        <v>11301.194</v>
      </c>
      <c r="P25" s="1" t="str">
        <f t="shared" si="5"/>
        <v>High GDP</v>
      </c>
      <c r="Q25" s="39" t="str">
        <f t="shared" si="6"/>
        <v>Low performer</v>
      </c>
      <c r="R25" s="8"/>
      <c r="S25" s="8"/>
      <c r="T25" s="8"/>
      <c r="U25" s="8"/>
      <c r="V25" s="8"/>
      <c r="W25" s="8"/>
      <c r="X25" s="8"/>
    </row>
    <row r="26" spans="1:24" x14ac:dyDescent="0.25">
      <c r="A26" s="13" t="s">
        <v>54</v>
      </c>
      <c r="B26" s="1" t="s">
        <v>55</v>
      </c>
      <c r="C26" s="1" t="s">
        <v>13</v>
      </c>
      <c r="D26" s="1">
        <v>3</v>
      </c>
      <c r="E26" s="1">
        <v>1</v>
      </c>
      <c r="F26" s="1">
        <v>6</v>
      </c>
      <c r="G26" s="1">
        <v>10</v>
      </c>
      <c r="H26" s="1" t="str">
        <f t="shared" si="0"/>
        <v>Needs improvement</v>
      </c>
      <c r="I26" s="1">
        <v>53475.29</v>
      </c>
      <c r="J26" s="1">
        <v>2023</v>
      </c>
      <c r="K26" s="1">
        <v>11.8</v>
      </c>
      <c r="L26" s="30">
        <f t="shared" si="1"/>
        <v>0.3</v>
      </c>
      <c r="M26" s="33">
        <f t="shared" si="2"/>
        <v>0.1</v>
      </c>
      <c r="N26" s="33">
        <f t="shared" si="3"/>
        <v>0.6</v>
      </c>
      <c r="O26" s="38">
        <f t="shared" si="4"/>
        <v>5347.5290000000005</v>
      </c>
      <c r="P26" s="1" t="str">
        <f t="shared" si="5"/>
        <v>High GDP</v>
      </c>
      <c r="Q26" s="39" t="str">
        <f t="shared" si="6"/>
        <v>Low performer</v>
      </c>
      <c r="R26" s="8"/>
      <c r="S26" s="8"/>
      <c r="T26" s="8"/>
      <c r="U26" s="8"/>
      <c r="V26" s="8"/>
      <c r="W26" s="8"/>
      <c r="X26" s="8"/>
    </row>
    <row r="27" spans="1:24" x14ac:dyDescent="0.25">
      <c r="A27" s="13" t="s">
        <v>62</v>
      </c>
      <c r="B27" s="1" t="s">
        <v>63</v>
      </c>
      <c r="C27" s="1" t="s">
        <v>13</v>
      </c>
      <c r="D27" s="1">
        <v>2</v>
      </c>
      <c r="E27" s="1">
        <v>2</v>
      </c>
      <c r="F27" s="1">
        <v>5</v>
      </c>
      <c r="G27" s="1">
        <v>9</v>
      </c>
      <c r="H27" s="1" t="str">
        <f t="shared" si="0"/>
        <v>Needs improvement</v>
      </c>
      <c r="I27" s="1">
        <v>67967.38</v>
      </c>
      <c r="J27" s="1">
        <v>2023</v>
      </c>
      <c r="K27" s="1">
        <v>5.9</v>
      </c>
      <c r="L27" s="30">
        <f t="shared" si="1"/>
        <v>0.22222222222222221</v>
      </c>
      <c r="M27" s="33">
        <f t="shared" si="2"/>
        <v>0.22222222222222221</v>
      </c>
      <c r="N27" s="33">
        <f t="shared" si="3"/>
        <v>0.55555555555555558</v>
      </c>
      <c r="O27" s="38">
        <f t="shared" si="4"/>
        <v>7551.9311111111119</v>
      </c>
      <c r="P27" s="1" t="str">
        <f t="shared" si="5"/>
        <v>High GDP</v>
      </c>
      <c r="Q27" s="39" t="str">
        <f t="shared" si="6"/>
        <v>Low performer</v>
      </c>
      <c r="R27" s="8"/>
      <c r="S27" s="8"/>
      <c r="T27" s="8"/>
      <c r="U27" s="8"/>
      <c r="V27" s="8"/>
      <c r="W27" s="8"/>
      <c r="X27" s="8"/>
    </row>
    <row r="28" spans="1:24" x14ac:dyDescent="0.25">
      <c r="A28" s="13" t="s">
        <v>78</v>
      </c>
      <c r="B28" s="1" t="s">
        <v>79</v>
      </c>
      <c r="C28" s="1" t="s">
        <v>5</v>
      </c>
      <c r="D28" s="1">
        <v>2</v>
      </c>
      <c r="E28" s="1">
        <v>0</v>
      </c>
      <c r="F28" s="1">
        <v>2</v>
      </c>
      <c r="G28" s="1">
        <v>4</v>
      </c>
      <c r="H28" s="1" t="str">
        <f t="shared" si="0"/>
        <v>Needs improvement</v>
      </c>
      <c r="I28" s="1">
        <v>50696.59</v>
      </c>
      <c r="J28" s="1">
        <v>2023</v>
      </c>
      <c r="K28" s="1">
        <v>7.5</v>
      </c>
      <c r="L28" s="30">
        <f t="shared" si="1"/>
        <v>0.5</v>
      </c>
      <c r="M28" s="33">
        <f t="shared" si="2"/>
        <v>0</v>
      </c>
      <c r="N28" s="33">
        <f t="shared" si="3"/>
        <v>0.5</v>
      </c>
      <c r="O28" s="38">
        <f t="shared" si="4"/>
        <v>12674.147499999999</v>
      </c>
      <c r="P28" s="1" t="str">
        <f t="shared" si="5"/>
        <v>High GDP</v>
      </c>
      <c r="Q28" s="39" t="str">
        <f t="shared" si="6"/>
        <v>Low performer</v>
      </c>
      <c r="R28" s="8"/>
      <c r="S28" s="8"/>
      <c r="T28" s="8"/>
      <c r="U28" s="8"/>
      <c r="V28" s="8"/>
      <c r="W28" s="8"/>
      <c r="X28" s="8"/>
    </row>
    <row r="29" spans="1:24" x14ac:dyDescent="0.25">
      <c r="A29" s="13" t="s">
        <v>80</v>
      </c>
      <c r="B29" s="1" t="s">
        <v>81</v>
      </c>
      <c r="C29" s="1" t="s">
        <v>5</v>
      </c>
      <c r="D29" s="1">
        <v>2</v>
      </c>
      <c r="E29" s="1">
        <v>0</v>
      </c>
      <c r="F29" s="1">
        <v>2</v>
      </c>
      <c r="G29" s="1">
        <v>4</v>
      </c>
      <c r="H29" s="1" t="str">
        <f t="shared" si="0"/>
        <v>Needs improvement</v>
      </c>
      <c r="I29" s="1">
        <v>3725.55</v>
      </c>
      <c r="J29" s="1">
        <v>2023</v>
      </c>
      <c r="K29" s="1">
        <v>117.3</v>
      </c>
      <c r="L29" s="30">
        <f t="shared" si="1"/>
        <v>0.5</v>
      </c>
      <c r="M29" s="33">
        <f t="shared" si="2"/>
        <v>0</v>
      </c>
      <c r="N29" s="33">
        <f t="shared" si="3"/>
        <v>0.5</v>
      </c>
      <c r="O29" s="38">
        <f t="shared" si="4"/>
        <v>931.38750000000005</v>
      </c>
      <c r="P29" s="1" t="str">
        <f t="shared" si="5"/>
        <v>Low GDP</v>
      </c>
      <c r="Q29" s="39" t="str">
        <f t="shared" si="6"/>
        <v>Low performer</v>
      </c>
      <c r="R29" s="8"/>
      <c r="S29" s="8"/>
      <c r="T29" s="8"/>
      <c r="U29" s="8"/>
      <c r="V29" s="8"/>
      <c r="W29" s="8"/>
      <c r="X29" s="8"/>
    </row>
    <row r="30" spans="1:24" x14ac:dyDescent="0.25">
      <c r="A30" s="13" t="s">
        <v>125</v>
      </c>
      <c r="B30" s="1" t="s">
        <v>126</v>
      </c>
      <c r="C30" s="1" t="s">
        <v>2</v>
      </c>
      <c r="D30" s="1">
        <v>1</v>
      </c>
      <c r="E30" s="1">
        <v>0</v>
      </c>
      <c r="F30" s="1">
        <v>1</v>
      </c>
      <c r="G30" s="1">
        <v>2</v>
      </c>
      <c r="H30" s="1" t="str">
        <f t="shared" si="0"/>
        <v>Needs improvement</v>
      </c>
      <c r="I30" s="1">
        <v>5797.52</v>
      </c>
      <c r="J30" s="1">
        <v>2023</v>
      </c>
      <c r="K30" s="1">
        <v>17.600000000000001</v>
      </c>
      <c r="L30" s="30">
        <f t="shared" si="1"/>
        <v>0.5</v>
      </c>
      <c r="M30" s="33">
        <f t="shared" si="2"/>
        <v>0</v>
      </c>
      <c r="N30" s="33">
        <f t="shared" si="3"/>
        <v>0.5</v>
      </c>
      <c r="O30" s="38">
        <f t="shared" si="4"/>
        <v>2898.76</v>
      </c>
      <c r="P30" s="1" t="str">
        <f t="shared" si="5"/>
        <v>Low GDP</v>
      </c>
      <c r="Q30" s="39" t="str">
        <f t="shared" si="6"/>
        <v>Low performer</v>
      </c>
      <c r="R30" s="8"/>
      <c r="S30" s="8"/>
      <c r="T30" s="8"/>
      <c r="U30" s="8"/>
      <c r="V30" s="8"/>
      <c r="W30" s="8"/>
      <c r="X30" s="8"/>
    </row>
    <row r="31" spans="1:24" x14ac:dyDescent="0.25">
      <c r="A31" s="13" t="s">
        <v>127</v>
      </c>
      <c r="B31" s="1" t="s">
        <v>128</v>
      </c>
      <c r="C31" s="1" t="s">
        <v>38</v>
      </c>
      <c r="D31" s="1">
        <v>1</v>
      </c>
      <c r="E31" s="1">
        <v>0</v>
      </c>
      <c r="F31" s="1">
        <v>1</v>
      </c>
      <c r="G31" s="1">
        <v>2</v>
      </c>
      <c r="H31" s="1" t="str">
        <f t="shared" si="0"/>
        <v>Needs improvement</v>
      </c>
      <c r="I31" s="1">
        <v>3672.11</v>
      </c>
      <c r="J31" s="1">
        <v>2023</v>
      </c>
      <c r="K31" s="1">
        <v>37.799999999999997</v>
      </c>
      <c r="L31" s="30">
        <f t="shared" si="1"/>
        <v>0.5</v>
      </c>
      <c r="M31" s="33">
        <f t="shared" si="2"/>
        <v>0</v>
      </c>
      <c r="N31" s="33">
        <f t="shared" si="3"/>
        <v>0.5</v>
      </c>
      <c r="O31" s="38">
        <f t="shared" si="4"/>
        <v>1836.0550000000001</v>
      </c>
      <c r="P31" s="1" t="str">
        <f t="shared" si="5"/>
        <v>Low GDP</v>
      </c>
      <c r="Q31" s="39" t="str">
        <f t="shared" si="6"/>
        <v>Low performer</v>
      </c>
      <c r="R31" s="8"/>
      <c r="S31" s="8"/>
      <c r="T31" s="8"/>
      <c r="U31" s="8"/>
      <c r="V31" s="8"/>
      <c r="W31" s="8"/>
      <c r="X31" s="8"/>
    </row>
    <row r="32" spans="1:24" x14ac:dyDescent="0.25">
      <c r="A32" s="13" t="s">
        <v>32</v>
      </c>
      <c r="B32" s="1" t="s">
        <v>33</v>
      </c>
      <c r="C32" s="1" t="s">
        <v>13</v>
      </c>
      <c r="D32" s="1">
        <v>5</v>
      </c>
      <c r="E32" s="1">
        <v>4</v>
      </c>
      <c r="F32" s="1">
        <v>9</v>
      </c>
      <c r="G32" s="1">
        <v>18</v>
      </c>
      <c r="H32" s="1" t="str">
        <f t="shared" si="0"/>
        <v>Needs improvement</v>
      </c>
      <c r="I32" s="1">
        <v>32676.98</v>
      </c>
      <c r="J32" s="1">
        <v>2023</v>
      </c>
      <c r="K32" s="1">
        <v>48.4</v>
      </c>
      <c r="L32" s="30">
        <f t="shared" si="1"/>
        <v>0.27777777777777779</v>
      </c>
      <c r="M32" s="33">
        <f t="shared" si="2"/>
        <v>0.22222222222222221</v>
      </c>
      <c r="N32" s="33">
        <f t="shared" si="3"/>
        <v>0.5</v>
      </c>
      <c r="O32" s="38">
        <f t="shared" si="4"/>
        <v>1815.3877777777777</v>
      </c>
      <c r="P32" s="1" t="str">
        <f t="shared" si="5"/>
        <v>Low GDP</v>
      </c>
      <c r="Q32" s="39" t="str">
        <f t="shared" si="6"/>
        <v>Low performer</v>
      </c>
      <c r="R32" s="8"/>
      <c r="S32" s="8"/>
      <c r="T32" s="8"/>
      <c r="U32" s="8"/>
      <c r="V32" s="8"/>
      <c r="W32" s="8"/>
      <c r="X32" s="8"/>
    </row>
    <row r="33" spans="1:24" x14ac:dyDescent="0.25">
      <c r="A33" s="13" t="s">
        <v>43</v>
      </c>
      <c r="B33" s="1" t="s">
        <v>44</v>
      </c>
      <c r="C33" s="1" t="s">
        <v>45</v>
      </c>
      <c r="D33" s="1">
        <v>3</v>
      </c>
      <c r="E33" s="1">
        <v>7</v>
      </c>
      <c r="F33" s="1">
        <v>10</v>
      </c>
      <c r="G33" s="1">
        <v>20</v>
      </c>
      <c r="H33" s="1" t="str">
        <f t="shared" si="0"/>
        <v>Needs improvement</v>
      </c>
      <c r="I33" s="1">
        <v>10043.620000000001</v>
      </c>
      <c r="J33" s="1">
        <v>2023</v>
      </c>
      <c r="K33" s="1">
        <v>216.4</v>
      </c>
      <c r="L33" s="30">
        <f t="shared" si="1"/>
        <v>0.15</v>
      </c>
      <c r="M33" s="33">
        <f t="shared" si="2"/>
        <v>0.35</v>
      </c>
      <c r="N33" s="33">
        <f t="shared" si="3"/>
        <v>0.5</v>
      </c>
      <c r="O33" s="38">
        <f t="shared" si="4"/>
        <v>502.18100000000004</v>
      </c>
      <c r="P33" s="1" t="str">
        <f t="shared" si="5"/>
        <v>Low GDP</v>
      </c>
      <c r="Q33" s="39" t="str">
        <f t="shared" si="6"/>
        <v>Low performer</v>
      </c>
      <c r="R33" s="8"/>
      <c r="S33" s="8"/>
      <c r="T33" s="8"/>
      <c r="U33" s="8"/>
      <c r="V33" s="8"/>
      <c r="W33" s="8"/>
      <c r="X33" s="8"/>
    </row>
    <row r="34" spans="1:24" x14ac:dyDescent="0.25">
      <c r="A34" s="13" t="s">
        <v>88</v>
      </c>
      <c r="B34" s="1" t="s">
        <v>89</v>
      </c>
      <c r="C34" s="1" t="s">
        <v>13</v>
      </c>
      <c r="D34" s="1">
        <v>1</v>
      </c>
      <c r="E34" s="1">
        <v>4</v>
      </c>
      <c r="F34" s="1">
        <v>5</v>
      </c>
      <c r="G34" s="1">
        <v>10</v>
      </c>
      <c r="H34" s="1" t="str">
        <f t="shared" ref="H34:H65" si="7">IF(G34&gt;=100,"Excellent","Needs improvement")</f>
        <v>Needs improvement</v>
      </c>
      <c r="I34" s="1">
        <v>22112.86</v>
      </c>
      <c r="J34" s="1">
        <v>2023</v>
      </c>
      <c r="K34" s="1">
        <v>36.700000000000003</v>
      </c>
      <c r="L34" s="30">
        <f t="shared" ref="L34:L65" si="8">D34/G34</f>
        <v>0.1</v>
      </c>
      <c r="M34" s="33">
        <f t="shared" ref="M34:M65" si="9">E34/G34</f>
        <v>0.4</v>
      </c>
      <c r="N34" s="33">
        <f t="shared" ref="N34:N65" si="10">F34/G34</f>
        <v>0.5</v>
      </c>
      <c r="O34" s="38">
        <f t="shared" ref="O34:O65" si="11">I34/G34</f>
        <v>2211.2860000000001</v>
      </c>
      <c r="P34" s="1" t="str">
        <f t="shared" ref="P34:P65" si="12">IF(I34&gt;=50000,"High GDP","Low GDP")</f>
        <v>Low GDP</v>
      </c>
      <c r="Q34" s="39" t="str">
        <f t="shared" ref="Q34:Q65" si="13">IF(D34&gt;=20,"Top performer","Low performer")</f>
        <v>Low performer</v>
      </c>
      <c r="R34" s="8"/>
      <c r="S34" s="8"/>
      <c r="T34" s="8"/>
      <c r="U34" s="8"/>
      <c r="V34" s="8"/>
      <c r="W34" s="8"/>
      <c r="X34" s="8"/>
    </row>
    <row r="35" spans="1:24" x14ac:dyDescent="0.25">
      <c r="A35" s="13" t="s">
        <v>145</v>
      </c>
      <c r="B35" s="1" t="s">
        <v>146</v>
      </c>
      <c r="C35" s="1" t="s">
        <v>13</v>
      </c>
      <c r="D35" s="1">
        <v>0</v>
      </c>
      <c r="E35" s="1">
        <v>2</v>
      </c>
      <c r="F35" s="1">
        <v>2</v>
      </c>
      <c r="G35" s="1">
        <v>4</v>
      </c>
      <c r="H35" s="1" t="str">
        <f t="shared" si="7"/>
        <v>Needs improvement</v>
      </c>
      <c r="I35" s="1">
        <v>27102.78</v>
      </c>
      <c r="J35" s="1">
        <v>2023</v>
      </c>
      <c r="K35" s="1">
        <v>2.9</v>
      </c>
      <c r="L35" s="30">
        <f t="shared" si="8"/>
        <v>0</v>
      </c>
      <c r="M35" s="33">
        <f t="shared" si="9"/>
        <v>0.5</v>
      </c>
      <c r="N35" s="33">
        <f t="shared" si="10"/>
        <v>0.5</v>
      </c>
      <c r="O35" s="38">
        <f t="shared" si="11"/>
        <v>6775.6949999999997</v>
      </c>
      <c r="P35" s="1" t="str">
        <f t="shared" si="12"/>
        <v>Low GDP</v>
      </c>
      <c r="Q35" s="39" t="str">
        <f t="shared" si="13"/>
        <v>Low performer</v>
      </c>
      <c r="R35" s="8"/>
      <c r="S35" s="8"/>
      <c r="T35" s="8"/>
      <c r="U35" s="8"/>
      <c r="V35" s="8"/>
      <c r="W35" s="8"/>
      <c r="X35" s="8"/>
    </row>
    <row r="36" spans="1:24" x14ac:dyDescent="0.25">
      <c r="A36" s="13" t="s">
        <v>151</v>
      </c>
      <c r="B36" s="1" t="s">
        <v>152</v>
      </c>
      <c r="C36" s="1" t="s">
        <v>13</v>
      </c>
      <c r="D36" s="1">
        <v>0</v>
      </c>
      <c r="E36" s="1">
        <v>1</v>
      </c>
      <c r="F36" s="1">
        <v>1</v>
      </c>
      <c r="G36" s="1">
        <v>2</v>
      </c>
      <c r="H36" s="1" t="str">
        <f t="shared" si="7"/>
        <v>Needs improvement</v>
      </c>
      <c r="I36" s="1">
        <v>5943.13</v>
      </c>
      <c r="J36" s="1">
        <v>2023</v>
      </c>
      <c r="K36" s="1">
        <v>1.8</v>
      </c>
      <c r="L36" s="30">
        <f t="shared" si="8"/>
        <v>0</v>
      </c>
      <c r="M36" s="33">
        <f t="shared" si="9"/>
        <v>0.5</v>
      </c>
      <c r="N36" s="33">
        <f t="shared" si="10"/>
        <v>0.5</v>
      </c>
      <c r="O36" s="38">
        <f t="shared" si="11"/>
        <v>2971.5650000000001</v>
      </c>
      <c r="P36" s="1" t="str">
        <f t="shared" si="12"/>
        <v>Low GDP</v>
      </c>
      <c r="Q36" s="39" t="str">
        <f t="shared" si="13"/>
        <v>Low performer</v>
      </c>
      <c r="R36" s="8"/>
      <c r="S36" s="8"/>
      <c r="T36" s="8"/>
      <c r="U36" s="8"/>
      <c r="V36" s="8"/>
      <c r="W36" s="8"/>
      <c r="X36" s="8"/>
    </row>
    <row r="37" spans="1:24" x14ac:dyDescent="0.25">
      <c r="A37" s="13" t="s">
        <v>36</v>
      </c>
      <c r="B37" s="1" t="s">
        <v>37</v>
      </c>
      <c r="C37" s="1" t="s">
        <v>38</v>
      </c>
      <c r="D37" s="1">
        <v>4</v>
      </c>
      <c r="E37" s="1">
        <v>2</v>
      </c>
      <c r="F37" s="1">
        <v>5</v>
      </c>
      <c r="G37" s="1">
        <v>11</v>
      </c>
      <c r="H37" s="1" t="str">
        <f t="shared" si="7"/>
        <v>Needs improvement</v>
      </c>
      <c r="I37" s="1">
        <v>1949.9</v>
      </c>
      <c r="J37" s="1">
        <v>2023</v>
      </c>
      <c r="K37" s="1">
        <v>55.1</v>
      </c>
      <c r="L37" s="30">
        <f t="shared" si="8"/>
        <v>0.36363636363636365</v>
      </c>
      <c r="M37" s="33">
        <f t="shared" si="9"/>
        <v>0.18181818181818182</v>
      </c>
      <c r="N37" s="33">
        <f t="shared" si="10"/>
        <v>0.45454545454545453</v>
      </c>
      <c r="O37" s="38">
        <f t="shared" si="11"/>
        <v>177.26363636363638</v>
      </c>
      <c r="P37" s="1" t="str">
        <f t="shared" si="12"/>
        <v>Low GDP</v>
      </c>
      <c r="Q37" s="39" t="str">
        <f t="shared" si="13"/>
        <v>Low performer</v>
      </c>
      <c r="R37" s="8"/>
      <c r="S37" s="8"/>
      <c r="T37" s="8"/>
      <c r="U37" s="8"/>
      <c r="V37" s="8"/>
      <c r="W37" s="8"/>
      <c r="X37" s="8"/>
    </row>
    <row r="38" spans="1:24" x14ac:dyDescent="0.25">
      <c r="A38" s="13" t="s">
        <v>16</v>
      </c>
      <c r="B38" s="1" t="s">
        <v>17</v>
      </c>
      <c r="C38" s="1" t="s">
        <v>13</v>
      </c>
      <c r="D38" s="1">
        <v>14</v>
      </c>
      <c r="E38" s="1">
        <v>22</v>
      </c>
      <c r="F38" s="1">
        <v>29</v>
      </c>
      <c r="G38" s="1">
        <v>65</v>
      </c>
      <c r="H38" s="1" t="str">
        <f t="shared" si="7"/>
        <v>Needs improvement</v>
      </c>
      <c r="I38" s="1">
        <v>48866.6</v>
      </c>
      <c r="J38" s="1">
        <v>2023</v>
      </c>
      <c r="K38" s="1">
        <v>68.3</v>
      </c>
      <c r="L38" s="30">
        <f t="shared" si="8"/>
        <v>0.2153846153846154</v>
      </c>
      <c r="M38" s="33">
        <f t="shared" si="9"/>
        <v>0.33846153846153848</v>
      </c>
      <c r="N38" s="33">
        <f t="shared" si="10"/>
        <v>0.44615384615384618</v>
      </c>
      <c r="O38" s="38">
        <f t="shared" si="11"/>
        <v>751.79384615384618</v>
      </c>
      <c r="P38" s="1" t="str">
        <f t="shared" si="12"/>
        <v>Low GDP</v>
      </c>
      <c r="Q38" s="39" t="str">
        <f t="shared" si="13"/>
        <v>Low performer</v>
      </c>
      <c r="R38" s="8"/>
      <c r="S38" s="8"/>
      <c r="T38" s="8"/>
      <c r="U38" s="8"/>
      <c r="V38" s="8"/>
      <c r="W38" s="8"/>
      <c r="X38" s="8"/>
    </row>
    <row r="39" spans="1:24" x14ac:dyDescent="0.25">
      <c r="A39" s="13" t="s">
        <v>56</v>
      </c>
      <c r="B39" s="1" t="s">
        <v>57</v>
      </c>
      <c r="C39" s="1" t="s">
        <v>13</v>
      </c>
      <c r="D39" s="1">
        <v>3</v>
      </c>
      <c r="E39" s="1">
        <v>1</v>
      </c>
      <c r="F39" s="1">
        <v>3</v>
      </c>
      <c r="G39" s="1">
        <v>7</v>
      </c>
      <c r="H39" s="1" t="str">
        <f t="shared" si="7"/>
        <v>Needs improvement</v>
      </c>
      <c r="I39" s="1">
        <v>15797.6</v>
      </c>
      <c r="J39" s="1">
        <v>2023</v>
      </c>
      <c r="K39" s="1">
        <v>6.4</v>
      </c>
      <c r="L39" s="30">
        <f t="shared" si="8"/>
        <v>0.42857142857142855</v>
      </c>
      <c r="M39" s="33">
        <f t="shared" si="9"/>
        <v>0.14285714285714285</v>
      </c>
      <c r="N39" s="33">
        <f t="shared" si="10"/>
        <v>0.42857142857142855</v>
      </c>
      <c r="O39" s="38">
        <f t="shared" si="11"/>
        <v>2256.8000000000002</v>
      </c>
      <c r="P39" s="1" t="str">
        <f t="shared" si="12"/>
        <v>Low GDP</v>
      </c>
      <c r="Q39" s="39" t="str">
        <f t="shared" si="13"/>
        <v>Low performer</v>
      </c>
      <c r="R39" s="8"/>
      <c r="S39" s="8"/>
      <c r="T39" s="8"/>
      <c r="U39" s="8"/>
      <c r="V39" s="8"/>
      <c r="W39" s="8"/>
      <c r="X39" s="8"/>
    </row>
    <row r="40" spans="1:24" x14ac:dyDescent="0.25">
      <c r="A40" s="13" t="s">
        <v>64</v>
      </c>
      <c r="B40" s="1" t="s">
        <v>65</v>
      </c>
      <c r="C40" s="1" t="s">
        <v>5</v>
      </c>
      <c r="D40" s="1">
        <v>2</v>
      </c>
      <c r="E40" s="1">
        <v>2</v>
      </c>
      <c r="F40" s="1">
        <v>3</v>
      </c>
      <c r="G40" s="1">
        <v>7</v>
      </c>
      <c r="H40" s="1" t="str">
        <f t="shared" si="7"/>
        <v>Needs improvement</v>
      </c>
      <c r="I40" s="1">
        <v>7155.08</v>
      </c>
      <c r="J40" s="1">
        <v>2023</v>
      </c>
      <c r="K40" s="1">
        <v>10.1</v>
      </c>
      <c r="L40" s="30">
        <f t="shared" si="8"/>
        <v>0.2857142857142857</v>
      </c>
      <c r="M40" s="33">
        <f t="shared" si="9"/>
        <v>0.2857142857142857</v>
      </c>
      <c r="N40" s="33">
        <f t="shared" si="10"/>
        <v>0.42857142857142855</v>
      </c>
      <c r="O40" s="38">
        <f t="shared" si="11"/>
        <v>1022.1542857142857</v>
      </c>
      <c r="P40" s="1" t="str">
        <f t="shared" si="12"/>
        <v>Low GDP</v>
      </c>
      <c r="Q40" s="39" t="str">
        <f t="shared" si="13"/>
        <v>Low performer</v>
      </c>
      <c r="R40" s="8"/>
      <c r="S40" s="8"/>
      <c r="T40" s="8"/>
      <c r="U40" s="8"/>
      <c r="V40" s="8"/>
      <c r="W40" s="8"/>
      <c r="X40" s="8"/>
    </row>
    <row r="41" spans="1:24" x14ac:dyDescent="0.25">
      <c r="A41" s="13" t="s">
        <v>66</v>
      </c>
      <c r="B41" s="1" t="s">
        <v>67</v>
      </c>
      <c r="C41" s="1" t="s">
        <v>13</v>
      </c>
      <c r="D41" s="1">
        <v>2</v>
      </c>
      <c r="E41" s="1">
        <v>2</v>
      </c>
      <c r="F41" s="1">
        <v>3</v>
      </c>
      <c r="G41" s="1">
        <v>7</v>
      </c>
      <c r="H41" s="1" t="str">
        <f t="shared" si="7"/>
        <v>Needs improvement</v>
      </c>
      <c r="I41" s="1">
        <v>21459.78</v>
      </c>
      <c r="J41" s="1">
        <v>2023</v>
      </c>
      <c r="K41" s="1">
        <v>3.9</v>
      </c>
      <c r="L41" s="30">
        <f t="shared" si="8"/>
        <v>0.2857142857142857</v>
      </c>
      <c r="M41" s="33">
        <f t="shared" si="9"/>
        <v>0.2857142857142857</v>
      </c>
      <c r="N41" s="33">
        <f t="shared" si="10"/>
        <v>0.42857142857142855</v>
      </c>
      <c r="O41" s="38">
        <f t="shared" si="11"/>
        <v>3065.6828571428568</v>
      </c>
      <c r="P41" s="1" t="str">
        <f t="shared" si="12"/>
        <v>Low GDP</v>
      </c>
      <c r="Q41" s="39" t="str">
        <f t="shared" si="13"/>
        <v>Low performer</v>
      </c>
      <c r="R41" s="8"/>
      <c r="S41" s="8"/>
      <c r="T41" s="8"/>
      <c r="U41" s="8"/>
      <c r="V41" s="8"/>
      <c r="W41" s="8"/>
      <c r="X41" s="8"/>
    </row>
    <row r="42" spans="1:24" x14ac:dyDescent="0.25">
      <c r="A42" s="13" t="s">
        <v>90</v>
      </c>
      <c r="B42" s="1" t="s">
        <v>91</v>
      </c>
      <c r="C42" s="1" t="s">
        <v>5</v>
      </c>
      <c r="D42" s="1">
        <v>1</v>
      </c>
      <c r="E42" s="1">
        <v>3</v>
      </c>
      <c r="F42" s="1">
        <v>3</v>
      </c>
      <c r="G42" s="1">
        <v>7</v>
      </c>
      <c r="H42" s="1" t="str">
        <f t="shared" si="7"/>
        <v>Needs improvement</v>
      </c>
      <c r="I42" s="1">
        <v>13136.62</v>
      </c>
      <c r="J42" s="1">
        <v>2023</v>
      </c>
      <c r="K42" s="1">
        <v>19.899999999999999</v>
      </c>
      <c r="L42" s="30">
        <f t="shared" si="8"/>
        <v>0.14285714285714285</v>
      </c>
      <c r="M42" s="33">
        <f t="shared" si="9"/>
        <v>0.42857142857142855</v>
      </c>
      <c r="N42" s="33">
        <f t="shared" si="10"/>
        <v>0.42857142857142855</v>
      </c>
      <c r="O42" s="38">
        <f t="shared" si="11"/>
        <v>1876.66</v>
      </c>
      <c r="P42" s="1" t="str">
        <f t="shared" si="12"/>
        <v>Low GDP</v>
      </c>
      <c r="Q42" s="39" t="str">
        <f t="shared" si="13"/>
        <v>Low performer</v>
      </c>
      <c r="R42" s="8"/>
      <c r="S42" s="8"/>
      <c r="T42" s="8"/>
      <c r="U42" s="8"/>
      <c r="V42" s="8"/>
      <c r="W42" s="8"/>
      <c r="X42" s="8"/>
    </row>
    <row r="43" spans="1:24" x14ac:dyDescent="0.25">
      <c r="A43" s="13" t="s">
        <v>26</v>
      </c>
      <c r="B43" s="1" t="s">
        <v>27</v>
      </c>
      <c r="C43" s="1" t="s">
        <v>2</v>
      </c>
      <c r="D43" s="1">
        <v>9</v>
      </c>
      <c r="E43" s="1">
        <v>7</v>
      </c>
      <c r="F43" s="1">
        <v>11</v>
      </c>
      <c r="G43" s="1">
        <v>27</v>
      </c>
      <c r="H43" s="1" t="str">
        <f t="shared" si="7"/>
        <v>Needs improvement</v>
      </c>
      <c r="I43" s="1">
        <v>53371.7</v>
      </c>
      <c r="J43" s="1">
        <v>2023</v>
      </c>
      <c r="K43" s="1">
        <v>40.1</v>
      </c>
      <c r="L43" s="30">
        <f t="shared" si="8"/>
        <v>0.33333333333333331</v>
      </c>
      <c r="M43" s="33">
        <f t="shared" si="9"/>
        <v>0.25925925925925924</v>
      </c>
      <c r="N43" s="33">
        <f t="shared" si="10"/>
        <v>0.40740740740740738</v>
      </c>
      <c r="O43" s="38">
        <f t="shared" si="11"/>
        <v>1976.7296296296295</v>
      </c>
      <c r="P43" s="1" t="str">
        <f t="shared" si="12"/>
        <v>High GDP</v>
      </c>
      <c r="Q43" s="39" t="str">
        <f t="shared" si="13"/>
        <v>Low performer</v>
      </c>
      <c r="R43" s="8"/>
      <c r="S43" s="8"/>
      <c r="T43" s="8"/>
      <c r="U43" s="8"/>
      <c r="V43" s="8"/>
      <c r="W43" s="8"/>
      <c r="X43" s="8"/>
    </row>
    <row r="44" spans="1:24" x14ac:dyDescent="0.25">
      <c r="A44" s="13" t="s">
        <v>60</v>
      </c>
      <c r="B44" s="1" t="s">
        <v>61</v>
      </c>
      <c r="C44" s="1" t="s">
        <v>13</v>
      </c>
      <c r="D44" s="1">
        <v>3</v>
      </c>
      <c r="E44" s="1">
        <v>0</v>
      </c>
      <c r="F44" s="1">
        <v>2</v>
      </c>
      <c r="G44" s="1">
        <v>5</v>
      </c>
      <c r="H44" s="1" t="str">
        <f t="shared" si="7"/>
        <v>Needs improvement</v>
      </c>
      <c r="I44" s="1">
        <v>30427.42</v>
      </c>
      <c r="J44" s="1">
        <v>2023</v>
      </c>
      <c r="K44" s="1">
        <v>10.9</v>
      </c>
      <c r="L44" s="30">
        <f t="shared" si="8"/>
        <v>0.6</v>
      </c>
      <c r="M44" s="33">
        <f t="shared" si="9"/>
        <v>0</v>
      </c>
      <c r="N44" s="33">
        <f t="shared" si="10"/>
        <v>0.4</v>
      </c>
      <c r="O44" s="38">
        <f t="shared" si="11"/>
        <v>6085.4839999999995</v>
      </c>
      <c r="P44" s="1" t="str">
        <f t="shared" si="12"/>
        <v>Low GDP</v>
      </c>
      <c r="Q44" s="39" t="str">
        <f t="shared" si="13"/>
        <v>Low performer</v>
      </c>
      <c r="R44" s="8"/>
      <c r="S44" s="8"/>
      <c r="T44" s="8"/>
      <c r="U44" s="8"/>
      <c r="V44" s="8"/>
      <c r="W44" s="8"/>
      <c r="X44" s="8"/>
    </row>
    <row r="45" spans="1:24" x14ac:dyDescent="0.25">
      <c r="A45" s="13" t="s">
        <v>102</v>
      </c>
      <c r="B45" s="1" t="s">
        <v>103</v>
      </c>
      <c r="C45" s="1" t="s">
        <v>45</v>
      </c>
      <c r="D45" s="1">
        <v>1</v>
      </c>
      <c r="E45" s="1">
        <v>2</v>
      </c>
      <c r="F45" s="1">
        <v>2</v>
      </c>
      <c r="G45" s="1">
        <v>5</v>
      </c>
      <c r="H45" s="1" t="str">
        <f t="shared" si="7"/>
        <v>Needs improvement</v>
      </c>
      <c r="I45" s="1">
        <v>6533.35</v>
      </c>
      <c r="J45" s="1">
        <v>2023</v>
      </c>
      <c r="K45" s="1">
        <v>18.2</v>
      </c>
      <c r="L45" s="30">
        <f t="shared" si="8"/>
        <v>0.2</v>
      </c>
      <c r="M45" s="33">
        <f t="shared" si="9"/>
        <v>0.4</v>
      </c>
      <c r="N45" s="33">
        <f t="shared" si="10"/>
        <v>0.4</v>
      </c>
      <c r="O45" s="38">
        <f t="shared" si="11"/>
        <v>1306.67</v>
      </c>
      <c r="P45" s="1" t="str">
        <f t="shared" si="12"/>
        <v>Low GDP</v>
      </c>
      <c r="Q45" s="39" t="str">
        <f t="shared" si="13"/>
        <v>Low performer</v>
      </c>
      <c r="R45" s="8"/>
      <c r="S45" s="8"/>
      <c r="T45" s="8"/>
      <c r="U45" s="8"/>
      <c r="V45" s="8"/>
      <c r="W45" s="8"/>
      <c r="X45" s="8"/>
    </row>
    <row r="46" spans="1:24" x14ac:dyDescent="0.25">
      <c r="A46" s="13" t="s">
        <v>135</v>
      </c>
      <c r="B46" s="1" t="s">
        <v>136</v>
      </c>
      <c r="C46" s="1" t="s">
        <v>2</v>
      </c>
      <c r="D46" s="1">
        <v>0</v>
      </c>
      <c r="E46" s="1">
        <v>3</v>
      </c>
      <c r="F46" s="1">
        <v>2</v>
      </c>
      <c r="G46" s="1">
        <v>5</v>
      </c>
      <c r="H46" s="1" t="str">
        <f t="shared" si="7"/>
        <v>Needs improvement</v>
      </c>
      <c r="I46" s="1">
        <v>13926.11</v>
      </c>
      <c r="J46" s="1">
        <v>2023</v>
      </c>
      <c r="K46" s="1">
        <v>128.5</v>
      </c>
      <c r="L46" s="30">
        <f t="shared" si="8"/>
        <v>0</v>
      </c>
      <c r="M46" s="33">
        <f t="shared" si="9"/>
        <v>0.6</v>
      </c>
      <c r="N46" s="33">
        <f t="shared" si="10"/>
        <v>0.4</v>
      </c>
      <c r="O46" s="38">
        <f t="shared" si="11"/>
        <v>2785.2220000000002</v>
      </c>
      <c r="P46" s="1" t="str">
        <f t="shared" si="12"/>
        <v>Low GDP</v>
      </c>
      <c r="Q46" s="39" t="str">
        <f t="shared" si="13"/>
        <v>Low performer</v>
      </c>
      <c r="R46" s="8"/>
      <c r="S46" s="8"/>
      <c r="T46" s="8"/>
      <c r="U46" s="8"/>
      <c r="V46" s="8"/>
      <c r="W46" s="8"/>
      <c r="X46" s="8"/>
    </row>
    <row r="47" spans="1:24" x14ac:dyDescent="0.25">
      <c r="A47" s="13" t="s">
        <v>39</v>
      </c>
      <c r="B47" s="1" t="s">
        <v>40</v>
      </c>
      <c r="C47" s="1" t="s">
        <v>13</v>
      </c>
      <c r="D47" s="1">
        <v>4</v>
      </c>
      <c r="E47" s="1">
        <v>1</v>
      </c>
      <c r="F47" s="1">
        <v>3</v>
      </c>
      <c r="G47" s="1">
        <v>8</v>
      </c>
      <c r="H47" s="1" t="str">
        <f t="shared" si="7"/>
        <v>Needs improvement</v>
      </c>
      <c r="I47" s="1">
        <v>87961.78</v>
      </c>
      <c r="J47" s="1">
        <v>2023</v>
      </c>
      <c r="K47" s="1">
        <v>5.5</v>
      </c>
      <c r="L47" s="30">
        <f t="shared" si="8"/>
        <v>0.5</v>
      </c>
      <c r="M47" s="33">
        <f t="shared" si="9"/>
        <v>0.125</v>
      </c>
      <c r="N47" s="33">
        <f t="shared" si="10"/>
        <v>0.375</v>
      </c>
      <c r="O47" s="38">
        <f t="shared" si="11"/>
        <v>10995.2225</v>
      </c>
      <c r="P47" s="1" t="str">
        <f t="shared" si="12"/>
        <v>High GDP</v>
      </c>
      <c r="Q47" s="39" t="str">
        <f t="shared" si="13"/>
        <v>Low performer</v>
      </c>
      <c r="R47" s="8"/>
      <c r="S47" s="8"/>
      <c r="T47" s="8"/>
      <c r="U47" s="8"/>
      <c r="V47" s="8"/>
      <c r="W47" s="8"/>
      <c r="X47" s="8"/>
    </row>
    <row r="48" spans="1:24" x14ac:dyDescent="0.25">
      <c r="A48" s="13" t="s">
        <v>20</v>
      </c>
      <c r="B48" s="1" t="s">
        <v>21</v>
      </c>
      <c r="C48" s="1" t="s">
        <v>13</v>
      </c>
      <c r="D48" s="1">
        <v>12</v>
      </c>
      <c r="E48" s="1">
        <v>13</v>
      </c>
      <c r="F48" s="1">
        <v>15</v>
      </c>
      <c r="G48" s="1">
        <v>40</v>
      </c>
      <c r="H48" s="1" t="str">
        <f t="shared" si="7"/>
        <v>Needs improvement</v>
      </c>
      <c r="I48" s="1">
        <v>38373.17</v>
      </c>
      <c r="J48" s="1">
        <v>2023</v>
      </c>
      <c r="K48" s="1">
        <v>58.8</v>
      </c>
      <c r="L48" s="30">
        <f t="shared" si="8"/>
        <v>0.3</v>
      </c>
      <c r="M48" s="33">
        <f t="shared" si="9"/>
        <v>0.32500000000000001</v>
      </c>
      <c r="N48" s="33">
        <f t="shared" si="10"/>
        <v>0.375</v>
      </c>
      <c r="O48" s="38">
        <f t="shared" si="11"/>
        <v>959.32925</v>
      </c>
      <c r="P48" s="1" t="str">
        <f t="shared" si="12"/>
        <v>Low GDP</v>
      </c>
      <c r="Q48" s="39" t="str">
        <f t="shared" si="13"/>
        <v>Low performer</v>
      </c>
      <c r="R48" s="8"/>
      <c r="S48" s="8"/>
      <c r="T48" s="8"/>
      <c r="U48" s="8"/>
      <c r="V48" s="8"/>
      <c r="W48" s="8"/>
      <c r="X48" s="8"/>
    </row>
    <row r="49" spans="1:24" x14ac:dyDescent="0.25">
      <c r="A49" s="13" t="s">
        <v>14</v>
      </c>
      <c r="B49" s="1" t="s">
        <v>15</v>
      </c>
      <c r="C49" s="1" t="s">
        <v>13</v>
      </c>
      <c r="D49" s="1">
        <v>15</v>
      </c>
      <c r="E49" s="1">
        <v>7</v>
      </c>
      <c r="F49" s="1">
        <v>12</v>
      </c>
      <c r="G49" s="1">
        <v>34</v>
      </c>
      <c r="H49" s="1" t="str">
        <f t="shared" si="7"/>
        <v>Needs improvement</v>
      </c>
      <c r="I49" s="1">
        <v>62536.73</v>
      </c>
      <c r="J49" s="1">
        <v>2023</v>
      </c>
      <c r="K49" s="1">
        <v>17.899999999999999</v>
      </c>
      <c r="L49" s="30">
        <f t="shared" si="8"/>
        <v>0.44117647058823528</v>
      </c>
      <c r="M49" s="33">
        <f t="shared" si="9"/>
        <v>0.20588235294117646</v>
      </c>
      <c r="N49" s="33">
        <f t="shared" si="10"/>
        <v>0.35294117647058826</v>
      </c>
      <c r="O49" s="38">
        <f t="shared" si="11"/>
        <v>1839.3155882352942</v>
      </c>
      <c r="P49" s="1" t="str">
        <f t="shared" si="12"/>
        <v>High GDP</v>
      </c>
      <c r="Q49" s="39" t="str">
        <f t="shared" si="13"/>
        <v>Low performer</v>
      </c>
      <c r="R49" s="8"/>
      <c r="S49" s="8"/>
      <c r="T49" s="8"/>
      <c r="U49" s="8"/>
      <c r="V49" s="8"/>
      <c r="W49" s="8"/>
      <c r="X49" s="8"/>
    </row>
    <row r="50" spans="1:24" x14ac:dyDescent="0.25">
      <c r="A50" s="13" t="s">
        <v>11</v>
      </c>
      <c r="B50" s="1" t="s">
        <v>12</v>
      </c>
      <c r="C50" s="1" t="s">
        <v>13</v>
      </c>
      <c r="D50" s="1">
        <v>16</v>
      </c>
      <c r="E50" s="1">
        <v>26</v>
      </c>
      <c r="F50" s="1">
        <v>22</v>
      </c>
      <c r="G50" s="1">
        <v>64</v>
      </c>
      <c r="H50" s="1" t="str">
        <f t="shared" si="7"/>
        <v>Needs improvement</v>
      </c>
      <c r="I50" s="1">
        <v>44460.82</v>
      </c>
      <c r="J50" s="1">
        <v>2023</v>
      </c>
      <c r="K50" s="1">
        <v>68.2</v>
      </c>
      <c r="L50" s="30">
        <f t="shared" si="8"/>
        <v>0.25</v>
      </c>
      <c r="M50" s="33">
        <f t="shared" si="9"/>
        <v>0.40625</v>
      </c>
      <c r="N50" s="33">
        <f t="shared" si="10"/>
        <v>0.34375</v>
      </c>
      <c r="O50" s="38">
        <f t="shared" si="11"/>
        <v>694.7003125</v>
      </c>
      <c r="P50" s="1" t="str">
        <f t="shared" si="12"/>
        <v>Low GDP</v>
      </c>
      <c r="Q50" s="39" t="str">
        <f t="shared" si="13"/>
        <v>Low performer</v>
      </c>
      <c r="R50" s="8"/>
      <c r="S50" s="8"/>
      <c r="T50" s="8"/>
      <c r="U50" s="8"/>
      <c r="V50" s="8"/>
      <c r="W50" s="8"/>
      <c r="X50" s="8"/>
    </row>
    <row r="51" spans="1:24" x14ac:dyDescent="0.25">
      <c r="A51" s="13" t="s">
        <v>82</v>
      </c>
      <c r="B51" s="1" t="s">
        <v>83</v>
      </c>
      <c r="C51" s="1" t="s">
        <v>38</v>
      </c>
      <c r="D51" s="1">
        <v>2</v>
      </c>
      <c r="E51" s="1">
        <v>0</v>
      </c>
      <c r="F51" s="1">
        <v>1</v>
      </c>
      <c r="G51" s="1">
        <v>3</v>
      </c>
      <c r="H51" s="1" t="str">
        <f t="shared" si="7"/>
        <v>Needs improvement</v>
      </c>
      <c r="I51" s="1">
        <v>5260.21</v>
      </c>
      <c r="J51" s="1">
        <v>2023</v>
      </c>
      <c r="K51" s="1">
        <v>45.6</v>
      </c>
      <c r="L51" s="30">
        <f t="shared" si="8"/>
        <v>0.66666666666666663</v>
      </c>
      <c r="M51" s="33">
        <f t="shared" si="9"/>
        <v>0</v>
      </c>
      <c r="N51" s="33">
        <f t="shared" si="10"/>
        <v>0.33333333333333331</v>
      </c>
      <c r="O51" s="38">
        <f t="shared" si="11"/>
        <v>1753.4033333333334</v>
      </c>
      <c r="P51" s="1" t="str">
        <f t="shared" si="12"/>
        <v>Low GDP</v>
      </c>
      <c r="Q51" s="39" t="str">
        <f t="shared" si="13"/>
        <v>Low performer</v>
      </c>
      <c r="R51" s="8"/>
      <c r="S51" s="8"/>
      <c r="T51" s="8"/>
      <c r="U51" s="8"/>
      <c r="V51" s="8"/>
      <c r="W51" s="8"/>
      <c r="X51" s="8"/>
    </row>
    <row r="52" spans="1:24" x14ac:dyDescent="0.25">
      <c r="A52" s="13" t="s">
        <v>84</v>
      </c>
      <c r="B52" s="1" t="s">
        <v>85</v>
      </c>
      <c r="C52" s="1" t="s">
        <v>5</v>
      </c>
      <c r="D52" s="1">
        <v>2</v>
      </c>
      <c r="E52" s="1">
        <v>0</v>
      </c>
      <c r="F52" s="1">
        <v>1</v>
      </c>
      <c r="G52" s="1">
        <v>3</v>
      </c>
      <c r="H52" s="1" t="str">
        <f t="shared" si="7"/>
        <v>Needs improvement</v>
      </c>
      <c r="I52" s="1">
        <v>4940.55</v>
      </c>
      <c r="J52" s="1">
        <v>2023</v>
      </c>
      <c r="K52" s="1">
        <v>277.5</v>
      </c>
      <c r="L52" s="30">
        <f t="shared" si="8"/>
        <v>0.66666666666666663</v>
      </c>
      <c r="M52" s="33">
        <f t="shared" si="9"/>
        <v>0</v>
      </c>
      <c r="N52" s="33">
        <f t="shared" si="10"/>
        <v>0.33333333333333331</v>
      </c>
      <c r="O52" s="38">
        <f t="shared" si="11"/>
        <v>1646.8500000000001</v>
      </c>
      <c r="P52" s="1" t="str">
        <f t="shared" si="12"/>
        <v>Low GDP</v>
      </c>
      <c r="Q52" s="39" t="str">
        <f t="shared" si="13"/>
        <v>Low performer</v>
      </c>
      <c r="R52" s="8"/>
      <c r="S52" s="8"/>
      <c r="T52" s="8"/>
      <c r="U52" s="8"/>
      <c r="V52" s="8"/>
      <c r="W52" s="8"/>
      <c r="X52" s="8"/>
    </row>
    <row r="53" spans="1:24" x14ac:dyDescent="0.25">
      <c r="A53" s="13" t="s">
        <v>108</v>
      </c>
      <c r="B53" s="1" t="s">
        <v>109</v>
      </c>
      <c r="C53" s="1" t="s">
        <v>45</v>
      </c>
      <c r="D53" s="1">
        <v>1</v>
      </c>
      <c r="E53" s="1">
        <v>1</v>
      </c>
      <c r="F53" s="1">
        <v>1</v>
      </c>
      <c r="G53" s="1">
        <v>3</v>
      </c>
      <c r="H53" s="1" t="str">
        <f t="shared" si="7"/>
        <v>Needs improvement</v>
      </c>
      <c r="I53" s="1">
        <v>13730.51</v>
      </c>
      <c r="J53" s="1">
        <v>2023</v>
      </c>
      <c r="K53" s="1">
        <v>46.7</v>
      </c>
      <c r="L53" s="30">
        <f t="shared" si="8"/>
        <v>0.33333333333333331</v>
      </c>
      <c r="M53" s="33">
        <f t="shared" si="9"/>
        <v>0.33333333333333331</v>
      </c>
      <c r="N53" s="33">
        <f t="shared" si="10"/>
        <v>0.33333333333333331</v>
      </c>
      <c r="O53" s="38">
        <f t="shared" si="11"/>
        <v>4576.836666666667</v>
      </c>
      <c r="P53" s="1" t="str">
        <f t="shared" si="12"/>
        <v>Low GDP</v>
      </c>
      <c r="Q53" s="39" t="str">
        <f t="shared" si="13"/>
        <v>Low performer</v>
      </c>
      <c r="R53" s="8"/>
      <c r="S53" s="8"/>
      <c r="T53" s="8"/>
      <c r="U53" s="8"/>
      <c r="V53" s="8"/>
      <c r="W53" s="8"/>
      <c r="X53" s="8"/>
    </row>
    <row r="54" spans="1:24" x14ac:dyDescent="0.25">
      <c r="A54" s="13" t="s">
        <v>110</v>
      </c>
      <c r="B54" s="1" t="s">
        <v>111</v>
      </c>
      <c r="C54" s="1" t="s">
        <v>38</v>
      </c>
      <c r="D54" s="1">
        <v>1</v>
      </c>
      <c r="E54" s="1">
        <v>1</v>
      </c>
      <c r="F54" s="1">
        <v>1</v>
      </c>
      <c r="G54" s="1">
        <v>3</v>
      </c>
      <c r="H54" s="1" t="str">
        <f t="shared" si="7"/>
        <v>Needs improvement</v>
      </c>
      <c r="I54" s="1">
        <v>3512.58</v>
      </c>
      <c r="J54" s="1">
        <v>2023</v>
      </c>
      <c r="K54" s="1">
        <v>112.7</v>
      </c>
      <c r="L54" s="30">
        <f t="shared" si="8"/>
        <v>0.33333333333333331</v>
      </c>
      <c r="M54" s="33">
        <f t="shared" si="9"/>
        <v>0.33333333333333331</v>
      </c>
      <c r="N54" s="33">
        <f t="shared" si="10"/>
        <v>0.33333333333333331</v>
      </c>
      <c r="O54" s="38">
        <f t="shared" si="11"/>
        <v>1170.8599999999999</v>
      </c>
      <c r="P54" s="1" t="str">
        <f t="shared" si="12"/>
        <v>Low GDP</v>
      </c>
      <c r="Q54" s="39" t="str">
        <f t="shared" si="13"/>
        <v>Low performer</v>
      </c>
      <c r="R54" s="8"/>
      <c r="S54" s="8"/>
      <c r="T54" s="8"/>
      <c r="U54" s="8"/>
      <c r="V54" s="8"/>
      <c r="W54" s="8"/>
      <c r="X54" s="8"/>
    </row>
    <row r="55" spans="1:24" x14ac:dyDescent="0.25">
      <c r="A55" s="13" t="s">
        <v>112</v>
      </c>
      <c r="B55" s="1" t="s">
        <v>113</v>
      </c>
      <c r="C55" s="1" t="s">
        <v>38</v>
      </c>
      <c r="D55" s="1">
        <v>1</v>
      </c>
      <c r="E55" s="1">
        <v>1</v>
      </c>
      <c r="F55" s="1">
        <v>1</v>
      </c>
      <c r="G55" s="1">
        <v>3</v>
      </c>
      <c r="H55" s="1" t="str">
        <f t="shared" si="7"/>
        <v>Needs improvement</v>
      </c>
      <c r="I55" s="1">
        <v>3895.39</v>
      </c>
      <c r="J55" s="1">
        <v>2023</v>
      </c>
      <c r="K55" s="1">
        <v>12.5</v>
      </c>
      <c r="L55" s="30">
        <f t="shared" si="8"/>
        <v>0.33333333333333331</v>
      </c>
      <c r="M55" s="33">
        <f t="shared" si="9"/>
        <v>0.33333333333333331</v>
      </c>
      <c r="N55" s="33">
        <f t="shared" si="10"/>
        <v>0.33333333333333331</v>
      </c>
      <c r="O55" s="38">
        <f t="shared" si="11"/>
        <v>1298.4633333333334</v>
      </c>
      <c r="P55" s="1" t="str">
        <f t="shared" si="12"/>
        <v>Low GDP</v>
      </c>
      <c r="Q55" s="39" t="str">
        <f t="shared" si="13"/>
        <v>Low performer</v>
      </c>
      <c r="R55" s="8"/>
      <c r="S55" s="8"/>
      <c r="T55" s="8"/>
      <c r="U55" s="8"/>
      <c r="V55" s="8"/>
      <c r="W55" s="8"/>
      <c r="X55" s="8"/>
    </row>
    <row r="56" spans="1:24" x14ac:dyDescent="0.25">
      <c r="A56" s="13" t="s">
        <v>0</v>
      </c>
      <c r="B56" s="1" t="s">
        <v>1</v>
      </c>
      <c r="C56" s="1" t="s">
        <v>2</v>
      </c>
      <c r="D56" s="1">
        <v>40</v>
      </c>
      <c r="E56" s="1">
        <v>44</v>
      </c>
      <c r="F56" s="1">
        <v>42</v>
      </c>
      <c r="G56" s="1">
        <v>126</v>
      </c>
      <c r="H56" s="1" t="str">
        <f t="shared" si="7"/>
        <v>Excellent</v>
      </c>
      <c r="I56" s="1">
        <v>81695.19</v>
      </c>
      <c r="J56" s="1">
        <v>2023</v>
      </c>
      <c r="K56" s="1">
        <v>334.9</v>
      </c>
      <c r="L56" s="30">
        <f t="shared" si="8"/>
        <v>0.31746031746031744</v>
      </c>
      <c r="M56" s="33">
        <f t="shared" si="9"/>
        <v>0.34920634920634919</v>
      </c>
      <c r="N56" s="33">
        <f t="shared" si="10"/>
        <v>0.33333333333333331</v>
      </c>
      <c r="O56" s="38">
        <f t="shared" si="11"/>
        <v>648.37452380952379</v>
      </c>
      <c r="P56" s="1" t="str">
        <f t="shared" si="12"/>
        <v>High GDP</v>
      </c>
      <c r="Q56" s="39" t="str">
        <f t="shared" si="13"/>
        <v>Top performer</v>
      </c>
      <c r="R56" s="8"/>
      <c r="S56" s="8"/>
      <c r="T56" s="8"/>
      <c r="U56" s="8"/>
      <c r="V56" s="8"/>
      <c r="W56" s="8"/>
      <c r="X56" s="8"/>
    </row>
    <row r="57" spans="1:24" x14ac:dyDescent="0.25">
      <c r="A57" s="13" t="s">
        <v>48</v>
      </c>
      <c r="B57" s="1" t="s">
        <v>49</v>
      </c>
      <c r="C57" s="1" t="s">
        <v>13</v>
      </c>
      <c r="D57" s="1">
        <v>3</v>
      </c>
      <c r="E57" s="1">
        <v>5</v>
      </c>
      <c r="F57" s="1">
        <v>4</v>
      </c>
      <c r="G57" s="1">
        <v>12</v>
      </c>
      <c r="H57" s="1" t="str">
        <f t="shared" si="7"/>
        <v>Needs improvement</v>
      </c>
      <c r="I57" s="1">
        <v>5181.3599999999997</v>
      </c>
      <c r="J57" s="1">
        <v>2023</v>
      </c>
      <c r="K57" s="1">
        <v>37</v>
      </c>
      <c r="L57" s="30">
        <f t="shared" si="8"/>
        <v>0.25</v>
      </c>
      <c r="M57" s="33">
        <f t="shared" si="9"/>
        <v>0.41666666666666669</v>
      </c>
      <c r="N57" s="33">
        <f t="shared" si="10"/>
        <v>0.33333333333333331</v>
      </c>
      <c r="O57" s="38">
        <f t="shared" si="11"/>
        <v>431.78</v>
      </c>
      <c r="P57" s="1" t="str">
        <f t="shared" si="12"/>
        <v>Low GDP</v>
      </c>
      <c r="Q57" s="39" t="str">
        <f t="shared" si="13"/>
        <v>Low performer</v>
      </c>
      <c r="R57" s="8"/>
      <c r="S57" s="8"/>
      <c r="T57" s="8"/>
      <c r="U57" s="8"/>
      <c r="V57" s="8"/>
      <c r="W57" s="8"/>
      <c r="X57" s="8"/>
    </row>
    <row r="58" spans="1:24" x14ac:dyDescent="0.25">
      <c r="A58" s="13" t="s">
        <v>92</v>
      </c>
      <c r="B58" s="1" t="s">
        <v>93</v>
      </c>
      <c r="C58" s="1" t="s">
        <v>2</v>
      </c>
      <c r="D58" s="1">
        <v>1</v>
      </c>
      <c r="E58" s="1">
        <v>3</v>
      </c>
      <c r="F58" s="1">
        <v>2</v>
      </c>
      <c r="G58" s="1">
        <v>6</v>
      </c>
      <c r="H58" s="1" t="str">
        <f t="shared" si="7"/>
        <v>Needs improvement</v>
      </c>
      <c r="I58" s="1">
        <v>6874.2</v>
      </c>
      <c r="J58" s="1">
        <v>2023</v>
      </c>
      <c r="K58" s="1">
        <v>2.8</v>
      </c>
      <c r="L58" s="30">
        <f t="shared" si="8"/>
        <v>0.16666666666666666</v>
      </c>
      <c r="M58" s="33">
        <f t="shared" si="9"/>
        <v>0.5</v>
      </c>
      <c r="N58" s="33">
        <f t="shared" si="10"/>
        <v>0.33333333333333331</v>
      </c>
      <c r="O58" s="38">
        <f t="shared" si="11"/>
        <v>1145.7</v>
      </c>
      <c r="P58" s="1" t="str">
        <f t="shared" si="12"/>
        <v>Low GDP</v>
      </c>
      <c r="Q58" s="39" t="str">
        <f t="shared" si="13"/>
        <v>Low performer</v>
      </c>
      <c r="R58" s="8"/>
      <c r="S58" s="8"/>
      <c r="T58" s="8"/>
      <c r="U58" s="8"/>
      <c r="V58" s="8"/>
      <c r="W58" s="8"/>
      <c r="X58" s="8"/>
    </row>
    <row r="59" spans="1:24" x14ac:dyDescent="0.25">
      <c r="A59" s="13" t="s">
        <v>94</v>
      </c>
      <c r="B59" s="1" t="s">
        <v>95</v>
      </c>
      <c r="C59" s="1" t="s">
        <v>38</v>
      </c>
      <c r="D59" s="1">
        <v>1</v>
      </c>
      <c r="E59" s="1">
        <v>3</v>
      </c>
      <c r="F59" s="1">
        <v>2</v>
      </c>
      <c r="G59" s="1">
        <v>6</v>
      </c>
      <c r="H59" s="1" t="str">
        <f t="shared" si="7"/>
        <v>Needs improvement</v>
      </c>
      <c r="I59" s="1">
        <v>6253.16</v>
      </c>
      <c r="J59" s="1">
        <v>2023</v>
      </c>
      <c r="K59" s="1">
        <v>60.4</v>
      </c>
      <c r="L59" s="30">
        <f t="shared" si="8"/>
        <v>0.16666666666666666</v>
      </c>
      <c r="M59" s="33">
        <f t="shared" si="9"/>
        <v>0.5</v>
      </c>
      <c r="N59" s="33">
        <f t="shared" si="10"/>
        <v>0.33333333333333331</v>
      </c>
      <c r="O59" s="38">
        <f t="shared" si="11"/>
        <v>1042.1933333333334</v>
      </c>
      <c r="P59" s="1" t="str">
        <f t="shared" si="12"/>
        <v>Low GDP</v>
      </c>
      <c r="Q59" s="39" t="str">
        <f t="shared" si="13"/>
        <v>Low performer</v>
      </c>
      <c r="R59" s="8"/>
      <c r="S59" s="8"/>
      <c r="T59" s="8"/>
      <c r="U59" s="8"/>
      <c r="V59" s="8"/>
      <c r="W59" s="8"/>
      <c r="X59" s="8"/>
    </row>
    <row r="60" spans="1:24" x14ac:dyDescent="0.25">
      <c r="A60" s="13" t="s">
        <v>96</v>
      </c>
      <c r="B60" s="1" t="s">
        <v>97</v>
      </c>
      <c r="C60" s="1" t="s">
        <v>5</v>
      </c>
      <c r="D60" s="1">
        <v>1</v>
      </c>
      <c r="E60" s="1">
        <v>3</v>
      </c>
      <c r="F60" s="1">
        <v>2</v>
      </c>
      <c r="G60" s="1">
        <v>6</v>
      </c>
      <c r="H60" s="1" t="str">
        <f t="shared" si="7"/>
        <v>Needs improvement</v>
      </c>
      <c r="I60" s="1">
        <v>7171.81</v>
      </c>
      <c r="J60" s="1">
        <v>2023</v>
      </c>
      <c r="K60" s="1">
        <v>71.8</v>
      </c>
      <c r="L60" s="30">
        <f t="shared" si="8"/>
        <v>0.16666666666666666</v>
      </c>
      <c r="M60" s="33">
        <f t="shared" si="9"/>
        <v>0.5</v>
      </c>
      <c r="N60" s="33">
        <f t="shared" si="10"/>
        <v>0.33333333333333331</v>
      </c>
      <c r="O60" s="38">
        <f t="shared" si="11"/>
        <v>1195.3016666666667</v>
      </c>
      <c r="P60" s="1" t="str">
        <f t="shared" si="12"/>
        <v>Low GDP</v>
      </c>
      <c r="Q60" s="39" t="str">
        <f t="shared" si="13"/>
        <v>Low performer</v>
      </c>
      <c r="R60" s="8"/>
      <c r="S60" s="8"/>
      <c r="T60" s="8"/>
      <c r="U60" s="8"/>
      <c r="V60" s="8"/>
      <c r="W60" s="8"/>
      <c r="X60" s="8"/>
    </row>
    <row r="61" spans="1:24" x14ac:dyDescent="0.25">
      <c r="A61" s="13" t="s">
        <v>30</v>
      </c>
      <c r="B61" s="1" t="s">
        <v>31</v>
      </c>
      <c r="C61" s="1" t="s">
        <v>13</v>
      </c>
      <c r="D61" s="1">
        <v>6</v>
      </c>
      <c r="E61" s="1">
        <v>7</v>
      </c>
      <c r="F61" s="1">
        <v>6</v>
      </c>
      <c r="G61" s="1">
        <v>19</v>
      </c>
      <c r="H61" s="1" t="str">
        <f t="shared" si="7"/>
        <v>Needs improvement</v>
      </c>
      <c r="I61" s="1">
        <v>22147.21</v>
      </c>
      <c r="J61" s="1">
        <v>2023</v>
      </c>
      <c r="K61" s="1">
        <v>9.6</v>
      </c>
      <c r="L61" s="30">
        <f t="shared" si="8"/>
        <v>0.31578947368421051</v>
      </c>
      <c r="M61" s="33">
        <f t="shared" si="9"/>
        <v>0.36842105263157893</v>
      </c>
      <c r="N61" s="33">
        <f t="shared" si="10"/>
        <v>0.31578947368421051</v>
      </c>
      <c r="O61" s="38">
        <f t="shared" si="11"/>
        <v>1165.6426315789474</v>
      </c>
      <c r="P61" s="1" t="str">
        <f t="shared" si="12"/>
        <v>Low GDP</v>
      </c>
      <c r="Q61" s="39" t="str">
        <f t="shared" si="13"/>
        <v>Low performer</v>
      </c>
      <c r="R61" s="8"/>
      <c r="S61" s="8"/>
      <c r="T61" s="8"/>
      <c r="U61" s="8"/>
      <c r="V61" s="8"/>
      <c r="W61" s="8"/>
      <c r="X61" s="8"/>
    </row>
    <row r="62" spans="1:24" x14ac:dyDescent="0.25">
      <c r="A62" s="13" t="s">
        <v>18</v>
      </c>
      <c r="B62" s="1" t="s">
        <v>19</v>
      </c>
      <c r="C62" s="1" t="s">
        <v>5</v>
      </c>
      <c r="D62" s="1">
        <v>13</v>
      </c>
      <c r="E62" s="1">
        <v>9</v>
      </c>
      <c r="F62" s="1">
        <v>10</v>
      </c>
      <c r="G62" s="1">
        <v>32</v>
      </c>
      <c r="H62" s="1" t="str">
        <f t="shared" si="7"/>
        <v>Needs improvement</v>
      </c>
      <c r="I62" s="1">
        <v>33121.370000000003</v>
      </c>
      <c r="J62" s="1">
        <v>2023</v>
      </c>
      <c r="K62" s="1">
        <v>51.7</v>
      </c>
      <c r="L62" s="30">
        <f t="shared" si="8"/>
        <v>0.40625</v>
      </c>
      <c r="M62" s="33">
        <f t="shared" si="9"/>
        <v>0.28125</v>
      </c>
      <c r="N62" s="33">
        <f t="shared" si="10"/>
        <v>0.3125</v>
      </c>
      <c r="O62" s="38">
        <f t="shared" si="11"/>
        <v>1035.0428125000001</v>
      </c>
      <c r="P62" s="1" t="str">
        <f t="shared" si="12"/>
        <v>Low GDP</v>
      </c>
      <c r="Q62" s="39" t="str">
        <f t="shared" si="13"/>
        <v>Low performer</v>
      </c>
      <c r="R62" s="8"/>
      <c r="S62" s="8"/>
      <c r="T62" s="8"/>
      <c r="U62" s="8"/>
      <c r="V62" s="8"/>
      <c r="W62" s="8"/>
      <c r="X62" s="8"/>
    </row>
    <row r="63" spans="1:24" x14ac:dyDescent="0.25">
      <c r="A63" s="13" t="s">
        <v>8</v>
      </c>
      <c r="B63" s="1" t="s">
        <v>9</v>
      </c>
      <c r="C63" s="1" t="s">
        <v>10</v>
      </c>
      <c r="D63" s="1">
        <v>18</v>
      </c>
      <c r="E63" s="1">
        <v>19</v>
      </c>
      <c r="F63" s="1">
        <v>16</v>
      </c>
      <c r="G63" s="1">
        <v>53</v>
      </c>
      <c r="H63" s="1" t="str">
        <f t="shared" si="7"/>
        <v>Needs improvement</v>
      </c>
      <c r="I63" s="1">
        <v>64711.77</v>
      </c>
      <c r="J63" s="1">
        <v>2023</v>
      </c>
      <c r="K63" s="1">
        <v>26.6</v>
      </c>
      <c r="L63" s="30">
        <f t="shared" si="8"/>
        <v>0.33962264150943394</v>
      </c>
      <c r="M63" s="33">
        <f t="shared" si="9"/>
        <v>0.35849056603773582</v>
      </c>
      <c r="N63" s="33">
        <f t="shared" si="10"/>
        <v>0.30188679245283018</v>
      </c>
      <c r="O63" s="38">
        <f t="shared" si="11"/>
        <v>1220.9767924528301</v>
      </c>
      <c r="P63" s="1" t="str">
        <f t="shared" si="12"/>
        <v>High GDP</v>
      </c>
      <c r="Q63" s="39" t="str">
        <f t="shared" si="13"/>
        <v>Low performer</v>
      </c>
      <c r="R63" s="8"/>
      <c r="S63" s="8"/>
      <c r="T63" s="8"/>
      <c r="U63" s="8"/>
      <c r="V63" s="8"/>
      <c r="W63" s="8"/>
      <c r="X63" s="8"/>
    </row>
    <row r="64" spans="1:24" x14ac:dyDescent="0.25">
      <c r="A64" s="13" t="s">
        <v>6</v>
      </c>
      <c r="B64" s="1" t="s">
        <v>7</v>
      </c>
      <c r="C64" s="1" t="s">
        <v>5</v>
      </c>
      <c r="D64" s="1">
        <v>20</v>
      </c>
      <c r="E64" s="1">
        <v>12</v>
      </c>
      <c r="F64" s="1">
        <v>13</v>
      </c>
      <c r="G64" s="1">
        <v>45</v>
      </c>
      <c r="H64" s="1" t="str">
        <f t="shared" si="7"/>
        <v>Needs improvement</v>
      </c>
      <c r="I64" s="1">
        <v>33834.39</v>
      </c>
      <c r="J64" s="1">
        <v>2023</v>
      </c>
      <c r="K64" s="1">
        <v>124.5</v>
      </c>
      <c r="L64" s="30">
        <f t="shared" si="8"/>
        <v>0.44444444444444442</v>
      </c>
      <c r="M64" s="33">
        <f t="shared" si="9"/>
        <v>0.26666666666666666</v>
      </c>
      <c r="N64" s="33">
        <f t="shared" si="10"/>
        <v>0.28888888888888886</v>
      </c>
      <c r="O64" s="38">
        <f t="shared" si="11"/>
        <v>751.87533333333329</v>
      </c>
      <c r="P64" s="1" t="str">
        <f t="shared" si="12"/>
        <v>Low GDP</v>
      </c>
      <c r="Q64" s="39" t="str">
        <f t="shared" si="13"/>
        <v>Top performer</v>
      </c>
      <c r="R64" s="8"/>
      <c r="S64" s="8"/>
      <c r="T64" s="8"/>
      <c r="U64" s="8"/>
      <c r="V64" s="8"/>
      <c r="W64" s="8"/>
      <c r="X64" s="8"/>
    </row>
    <row r="65" spans="1:24" x14ac:dyDescent="0.25">
      <c r="A65" s="13" t="s">
        <v>34</v>
      </c>
      <c r="B65" s="1" t="s">
        <v>35</v>
      </c>
      <c r="C65" s="1" t="s">
        <v>13</v>
      </c>
      <c r="D65" s="1">
        <v>4</v>
      </c>
      <c r="E65" s="1">
        <v>4</v>
      </c>
      <c r="F65" s="1">
        <v>3</v>
      </c>
      <c r="G65" s="1">
        <v>11</v>
      </c>
      <c r="H65" s="1" t="str">
        <f t="shared" si="7"/>
        <v>Needs improvement</v>
      </c>
      <c r="I65" s="1">
        <v>56305.25</v>
      </c>
      <c r="J65" s="1">
        <v>2023</v>
      </c>
      <c r="K65" s="1">
        <v>10.5</v>
      </c>
      <c r="L65" s="30">
        <f t="shared" si="8"/>
        <v>0.36363636363636365</v>
      </c>
      <c r="M65" s="33">
        <f t="shared" si="9"/>
        <v>0.36363636363636365</v>
      </c>
      <c r="N65" s="33">
        <f t="shared" si="10"/>
        <v>0.27272727272727271</v>
      </c>
      <c r="O65" s="38">
        <f t="shared" si="11"/>
        <v>5118.659090909091</v>
      </c>
      <c r="P65" s="1" t="str">
        <f t="shared" si="12"/>
        <v>High GDP</v>
      </c>
      <c r="Q65" s="39" t="str">
        <f t="shared" si="13"/>
        <v>Low performer</v>
      </c>
      <c r="R65" s="8"/>
      <c r="S65" s="8"/>
      <c r="T65" s="8"/>
      <c r="U65" s="8"/>
      <c r="V65" s="8"/>
      <c r="W65" s="8"/>
      <c r="X65" s="8"/>
    </row>
    <row r="66" spans="1:24" x14ac:dyDescent="0.25">
      <c r="A66" s="13" t="s">
        <v>3</v>
      </c>
      <c r="B66" s="1" t="s">
        <v>4</v>
      </c>
      <c r="C66" s="1" t="s">
        <v>5</v>
      </c>
      <c r="D66" s="1">
        <v>40</v>
      </c>
      <c r="E66" s="1">
        <v>27</v>
      </c>
      <c r="F66" s="1">
        <v>24</v>
      </c>
      <c r="G66" s="1">
        <v>91</v>
      </c>
      <c r="H66" s="1" t="str">
        <f t="shared" ref="H66:H91" si="14">IF(G66&gt;=100,"Excellent","Needs improvement")</f>
        <v>Needs improvement</v>
      </c>
      <c r="I66" s="1">
        <v>12614.06</v>
      </c>
      <c r="J66" s="1">
        <v>2023</v>
      </c>
      <c r="K66" s="1">
        <v>1410.7</v>
      </c>
      <c r="L66" s="30">
        <f t="shared" ref="L66:L91" si="15">D66/G66</f>
        <v>0.43956043956043955</v>
      </c>
      <c r="M66" s="33">
        <f t="shared" ref="M66:M91" si="16">E66/G66</f>
        <v>0.2967032967032967</v>
      </c>
      <c r="N66" s="33">
        <f t="shared" ref="N66:N91" si="17">F66/G66</f>
        <v>0.26373626373626374</v>
      </c>
      <c r="O66" s="38">
        <f t="shared" ref="O66:O91" si="18">I66/G66</f>
        <v>138.61604395604394</v>
      </c>
      <c r="P66" s="1" t="str">
        <f t="shared" ref="P66:P91" si="19">IF(I66&gt;=50000,"High GDP","Low GDP")</f>
        <v>Low GDP</v>
      </c>
      <c r="Q66" s="39" t="str">
        <f t="shared" ref="Q66:Q91" si="20">IF(D66&gt;=20,"Top performer","Low performer")</f>
        <v>Top performer</v>
      </c>
      <c r="R66" s="8"/>
      <c r="S66" s="8"/>
      <c r="T66" s="8"/>
      <c r="U66" s="8"/>
      <c r="V66" s="8"/>
      <c r="W66" s="8"/>
      <c r="X66" s="8"/>
    </row>
    <row r="67" spans="1:24" x14ac:dyDescent="0.25">
      <c r="A67" s="13" t="s">
        <v>70</v>
      </c>
      <c r="B67" s="1" t="s">
        <v>71</v>
      </c>
      <c r="C67" s="1" t="s">
        <v>5</v>
      </c>
      <c r="D67" s="1">
        <v>2</v>
      </c>
      <c r="E67" s="1">
        <v>1</v>
      </c>
      <c r="F67" s="1">
        <v>1</v>
      </c>
      <c r="G67" s="1">
        <v>4</v>
      </c>
      <c r="H67" s="1" t="str">
        <f t="shared" si="14"/>
        <v>Needs improvement</v>
      </c>
      <c r="I67" s="1">
        <v>29084.31</v>
      </c>
      <c r="J67" s="1">
        <v>2023</v>
      </c>
      <c r="K67" s="1">
        <v>1.5</v>
      </c>
      <c r="L67" s="30">
        <f t="shared" si="15"/>
        <v>0.5</v>
      </c>
      <c r="M67" s="33">
        <f t="shared" si="16"/>
        <v>0.25</v>
      </c>
      <c r="N67" s="33">
        <f t="shared" si="17"/>
        <v>0.25</v>
      </c>
      <c r="O67" s="38">
        <f t="shared" si="18"/>
        <v>7271.0775000000003</v>
      </c>
      <c r="P67" s="1" t="str">
        <f t="shared" si="19"/>
        <v>Low GDP</v>
      </c>
      <c r="Q67" s="39" t="str">
        <f t="shared" si="20"/>
        <v>Low performer</v>
      </c>
      <c r="R67" s="8"/>
      <c r="S67" s="8"/>
      <c r="T67" s="8"/>
      <c r="U67" s="8"/>
      <c r="V67" s="8"/>
      <c r="W67" s="8"/>
      <c r="X67" s="8"/>
    </row>
    <row r="68" spans="1:24" x14ac:dyDescent="0.25">
      <c r="A68" s="13" t="s">
        <v>46</v>
      </c>
      <c r="B68" s="1" t="s">
        <v>47</v>
      </c>
      <c r="C68" s="1" t="s">
        <v>5</v>
      </c>
      <c r="D68" s="1">
        <v>3</v>
      </c>
      <c r="E68" s="1">
        <v>6</v>
      </c>
      <c r="F68" s="1">
        <v>3</v>
      </c>
      <c r="G68" s="1">
        <v>12</v>
      </c>
      <c r="H68" s="1" t="str">
        <f t="shared" si="14"/>
        <v>Needs improvement</v>
      </c>
      <c r="I68" s="1">
        <v>4502.55</v>
      </c>
      <c r="J68" s="1">
        <v>2023</v>
      </c>
      <c r="K68" s="1">
        <v>89.2</v>
      </c>
      <c r="L68" s="30">
        <f t="shared" si="15"/>
        <v>0.25</v>
      </c>
      <c r="M68" s="33">
        <f t="shared" si="16"/>
        <v>0.5</v>
      </c>
      <c r="N68" s="33">
        <f t="shared" si="17"/>
        <v>0.25</v>
      </c>
      <c r="O68" s="38">
        <f t="shared" si="18"/>
        <v>375.21250000000003</v>
      </c>
      <c r="P68" s="1" t="str">
        <f t="shared" si="19"/>
        <v>Low GDP</v>
      </c>
      <c r="Q68" s="39" t="str">
        <f t="shared" si="20"/>
        <v>Low performer</v>
      </c>
      <c r="R68" s="8"/>
      <c r="S68" s="8"/>
      <c r="T68" s="8"/>
      <c r="U68" s="8"/>
      <c r="V68" s="8"/>
      <c r="W68" s="8"/>
      <c r="X68" s="8"/>
    </row>
    <row r="69" spans="1:24" x14ac:dyDescent="0.25">
      <c r="A69" s="13" t="s">
        <v>104</v>
      </c>
      <c r="B69" s="1" t="s">
        <v>105</v>
      </c>
      <c r="C69" s="1" t="s">
        <v>13</v>
      </c>
      <c r="D69" s="1">
        <v>1</v>
      </c>
      <c r="E69" s="1">
        <v>2</v>
      </c>
      <c r="F69" s="1">
        <v>1</v>
      </c>
      <c r="G69" s="1">
        <v>4</v>
      </c>
      <c r="H69" s="1" t="str">
        <f t="shared" si="14"/>
        <v>Needs improvement</v>
      </c>
      <c r="I69" s="1">
        <v>27275.11</v>
      </c>
      <c r="J69" s="1">
        <v>2023</v>
      </c>
      <c r="K69" s="1">
        <v>10.5</v>
      </c>
      <c r="L69" s="30">
        <f t="shared" si="15"/>
        <v>0.25</v>
      </c>
      <c r="M69" s="33">
        <f t="shared" si="16"/>
        <v>0.5</v>
      </c>
      <c r="N69" s="33">
        <f t="shared" si="17"/>
        <v>0.25</v>
      </c>
      <c r="O69" s="38">
        <f t="shared" si="18"/>
        <v>6818.7775000000001</v>
      </c>
      <c r="P69" s="1" t="str">
        <f t="shared" si="19"/>
        <v>Low GDP</v>
      </c>
      <c r="Q69" s="39" t="str">
        <f t="shared" si="20"/>
        <v>Low performer</v>
      </c>
      <c r="R69" s="8"/>
      <c r="S69" s="8"/>
      <c r="T69" s="8"/>
      <c r="U69" s="8"/>
      <c r="V69" s="8"/>
      <c r="W69" s="8"/>
      <c r="X69" s="8"/>
    </row>
    <row r="70" spans="1:24" x14ac:dyDescent="0.25">
      <c r="A70" s="13" t="s">
        <v>137</v>
      </c>
      <c r="B70" s="1" t="s">
        <v>138</v>
      </c>
      <c r="C70" s="1" t="s">
        <v>5</v>
      </c>
      <c r="D70" s="1">
        <v>0</v>
      </c>
      <c r="E70" s="1">
        <v>3</v>
      </c>
      <c r="F70" s="1">
        <v>1</v>
      </c>
      <c r="G70" s="1">
        <v>4</v>
      </c>
      <c r="H70" s="1" t="str">
        <f t="shared" si="14"/>
        <v>Needs improvement</v>
      </c>
      <c r="I70" s="1">
        <v>8715.77</v>
      </c>
      <c r="J70" s="1">
        <v>2023</v>
      </c>
      <c r="K70" s="1">
        <v>2.8</v>
      </c>
      <c r="L70" s="30">
        <f t="shared" si="15"/>
        <v>0</v>
      </c>
      <c r="M70" s="33">
        <f t="shared" si="16"/>
        <v>0.75</v>
      </c>
      <c r="N70" s="33">
        <f t="shared" si="17"/>
        <v>0.25</v>
      </c>
      <c r="O70" s="38">
        <f t="shared" si="18"/>
        <v>2178.9425000000001</v>
      </c>
      <c r="P70" s="1" t="str">
        <f t="shared" si="19"/>
        <v>Low GDP</v>
      </c>
      <c r="Q70" s="39" t="str">
        <f t="shared" si="20"/>
        <v>Low performer</v>
      </c>
      <c r="R70" s="8"/>
      <c r="S70" s="8"/>
      <c r="T70" s="8"/>
      <c r="U70" s="8"/>
      <c r="V70" s="8"/>
      <c r="W70" s="8"/>
      <c r="X70" s="8"/>
    </row>
    <row r="71" spans="1:24" x14ac:dyDescent="0.25">
      <c r="A71" s="13" t="s">
        <v>139</v>
      </c>
      <c r="B71" s="1" t="s">
        <v>140</v>
      </c>
      <c r="C71" s="1" t="s">
        <v>45</v>
      </c>
      <c r="D71" s="1">
        <v>0</v>
      </c>
      <c r="E71" s="1">
        <v>3</v>
      </c>
      <c r="F71" s="1">
        <v>1</v>
      </c>
      <c r="G71" s="1">
        <v>4</v>
      </c>
      <c r="H71" s="1" t="str">
        <f t="shared" si="14"/>
        <v>Needs improvement</v>
      </c>
      <c r="I71" s="1">
        <v>6979.73</v>
      </c>
      <c r="J71" s="1">
        <v>2023</v>
      </c>
      <c r="K71" s="1">
        <v>52.1</v>
      </c>
      <c r="L71" s="30">
        <f t="shared" si="15"/>
        <v>0</v>
      </c>
      <c r="M71" s="33">
        <f t="shared" si="16"/>
        <v>0.75</v>
      </c>
      <c r="N71" s="33">
        <f t="shared" si="17"/>
        <v>0.25</v>
      </c>
      <c r="O71" s="38">
        <f t="shared" si="18"/>
        <v>1744.9324999999999</v>
      </c>
      <c r="P71" s="1" t="str">
        <f t="shared" si="19"/>
        <v>Low GDP</v>
      </c>
      <c r="Q71" s="39" t="str">
        <f t="shared" si="20"/>
        <v>Low performer</v>
      </c>
      <c r="R71" s="8"/>
      <c r="S71" s="8"/>
      <c r="T71" s="8"/>
      <c r="U71" s="8"/>
      <c r="V71" s="8"/>
      <c r="W71" s="8"/>
      <c r="X71" s="8"/>
    </row>
    <row r="72" spans="1:24" x14ac:dyDescent="0.25">
      <c r="A72" s="13" t="s">
        <v>22</v>
      </c>
      <c r="B72" s="1" t="s">
        <v>23</v>
      </c>
      <c r="C72" s="1" t="s">
        <v>13</v>
      </c>
      <c r="D72" s="1">
        <v>12</v>
      </c>
      <c r="E72" s="1">
        <v>13</v>
      </c>
      <c r="F72" s="1">
        <v>8</v>
      </c>
      <c r="G72" s="1">
        <v>33</v>
      </c>
      <c r="H72" s="1" t="str">
        <f t="shared" si="14"/>
        <v>Needs improvement</v>
      </c>
      <c r="I72" s="1">
        <v>52745.760000000002</v>
      </c>
      <c r="J72" s="1">
        <v>2023</v>
      </c>
      <c r="K72" s="1">
        <v>84.5</v>
      </c>
      <c r="L72" s="30">
        <f t="shared" si="15"/>
        <v>0.36363636363636365</v>
      </c>
      <c r="M72" s="33">
        <f t="shared" si="16"/>
        <v>0.39393939393939392</v>
      </c>
      <c r="N72" s="33">
        <f t="shared" si="17"/>
        <v>0.24242424242424243</v>
      </c>
      <c r="O72" s="38">
        <f t="shared" si="18"/>
        <v>1598.3563636363638</v>
      </c>
      <c r="P72" s="1" t="str">
        <f t="shared" si="19"/>
        <v>High GDP</v>
      </c>
      <c r="Q72" s="39" t="str">
        <f t="shared" si="20"/>
        <v>Low performer</v>
      </c>
      <c r="R72" s="8"/>
      <c r="S72" s="8"/>
      <c r="T72" s="8"/>
      <c r="U72" s="8"/>
      <c r="V72" s="8"/>
      <c r="W72" s="8"/>
      <c r="X72" s="8"/>
    </row>
    <row r="73" spans="1:24" x14ac:dyDescent="0.25">
      <c r="A73" s="13" t="s">
        <v>28</v>
      </c>
      <c r="B73" s="1" t="s">
        <v>29</v>
      </c>
      <c r="C73" s="1" t="s">
        <v>5</v>
      </c>
      <c r="D73" s="1">
        <v>8</v>
      </c>
      <c r="E73" s="1">
        <v>2</v>
      </c>
      <c r="F73" s="1">
        <v>3</v>
      </c>
      <c r="G73" s="1">
        <v>13</v>
      </c>
      <c r="H73" s="1" t="str">
        <f t="shared" si="14"/>
        <v>Needs improvement</v>
      </c>
      <c r="I73" s="1">
        <v>2496.11</v>
      </c>
      <c r="J73" s="1">
        <v>2023</v>
      </c>
      <c r="K73" s="1">
        <v>36.4</v>
      </c>
      <c r="L73" s="30">
        <f t="shared" si="15"/>
        <v>0.61538461538461542</v>
      </c>
      <c r="M73" s="33">
        <f t="shared" si="16"/>
        <v>0.15384615384615385</v>
      </c>
      <c r="N73" s="33">
        <f t="shared" si="17"/>
        <v>0.23076923076923078</v>
      </c>
      <c r="O73" s="38">
        <f t="shared" si="18"/>
        <v>192.00846153846155</v>
      </c>
      <c r="P73" s="1" t="str">
        <f t="shared" si="19"/>
        <v>Low GDP</v>
      </c>
      <c r="Q73" s="39" t="str">
        <f t="shared" si="20"/>
        <v>Low performer</v>
      </c>
      <c r="R73" s="8"/>
      <c r="S73" s="8"/>
      <c r="T73" s="8"/>
      <c r="U73" s="8"/>
      <c r="V73" s="8"/>
      <c r="W73" s="8"/>
      <c r="X73" s="8"/>
    </row>
    <row r="74" spans="1:24" x14ac:dyDescent="0.25">
      <c r="A74" s="13" t="s">
        <v>50</v>
      </c>
      <c r="B74" s="1" t="s">
        <v>51</v>
      </c>
      <c r="C74" s="1" t="s">
        <v>13</v>
      </c>
      <c r="D74" s="1">
        <v>3</v>
      </c>
      <c r="E74" s="1">
        <v>4</v>
      </c>
      <c r="F74" s="1">
        <v>2</v>
      </c>
      <c r="G74" s="1">
        <v>9</v>
      </c>
      <c r="H74" s="1" t="str">
        <f t="shared" si="14"/>
        <v>Needs improvement</v>
      </c>
      <c r="I74" s="1">
        <v>18419.419999999998</v>
      </c>
      <c r="J74" s="1">
        <v>2023</v>
      </c>
      <c r="K74" s="1">
        <v>19.100000000000001</v>
      </c>
      <c r="L74" s="30">
        <f t="shared" si="15"/>
        <v>0.33333333333333331</v>
      </c>
      <c r="M74" s="33">
        <f t="shared" si="16"/>
        <v>0.44444444444444442</v>
      </c>
      <c r="N74" s="33">
        <f t="shared" si="17"/>
        <v>0.22222222222222221</v>
      </c>
      <c r="O74" s="38">
        <f t="shared" si="18"/>
        <v>2046.6022222222221</v>
      </c>
      <c r="P74" s="1" t="str">
        <f t="shared" si="19"/>
        <v>Low GDP</v>
      </c>
      <c r="Q74" s="39" t="str">
        <f t="shared" si="20"/>
        <v>Low performer</v>
      </c>
      <c r="R74" s="8"/>
      <c r="S74" s="8"/>
      <c r="T74" s="8"/>
      <c r="U74" s="8"/>
      <c r="V74" s="8"/>
      <c r="W74" s="8"/>
      <c r="X74" s="8"/>
    </row>
    <row r="75" spans="1:24" x14ac:dyDescent="0.25">
      <c r="A75" s="13" t="s">
        <v>58</v>
      </c>
      <c r="B75" s="1" t="s">
        <v>59</v>
      </c>
      <c r="C75" s="1" t="s">
        <v>13</v>
      </c>
      <c r="D75" s="1">
        <v>3</v>
      </c>
      <c r="E75" s="1">
        <v>1</v>
      </c>
      <c r="F75" s="1">
        <v>1</v>
      </c>
      <c r="G75" s="1">
        <v>5</v>
      </c>
      <c r="H75" s="1" t="str">
        <f t="shared" si="14"/>
        <v>Needs improvement</v>
      </c>
      <c r="I75" s="1">
        <v>11360.96</v>
      </c>
      <c r="J75" s="1">
        <v>2023</v>
      </c>
      <c r="K75" s="1">
        <v>6.6</v>
      </c>
      <c r="L75" s="30">
        <f t="shared" si="15"/>
        <v>0.6</v>
      </c>
      <c r="M75" s="33">
        <f t="shared" si="16"/>
        <v>0.2</v>
      </c>
      <c r="N75" s="33">
        <f t="shared" si="17"/>
        <v>0.2</v>
      </c>
      <c r="O75" s="38">
        <f t="shared" si="18"/>
        <v>2272.192</v>
      </c>
      <c r="P75" s="1" t="str">
        <f t="shared" si="19"/>
        <v>Low GDP</v>
      </c>
      <c r="Q75" s="39" t="str">
        <f t="shared" si="20"/>
        <v>Low performer</v>
      </c>
      <c r="R75" s="8"/>
      <c r="S75" s="8"/>
      <c r="T75" s="8"/>
      <c r="U75" s="8"/>
      <c r="V75" s="8"/>
      <c r="W75" s="8"/>
      <c r="X75" s="8"/>
    </row>
    <row r="76" spans="1:24" x14ac:dyDescent="0.25">
      <c r="A76" s="13" t="s">
        <v>24</v>
      </c>
      <c r="B76" s="1" t="s">
        <v>25</v>
      </c>
      <c r="C76" s="1" t="s">
        <v>10</v>
      </c>
      <c r="D76" s="1">
        <v>10</v>
      </c>
      <c r="E76" s="1">
        <v>7</v>
      </c>
      <c r="F76" s="1">
        <v>3</v>
      </c>
      <c r="G76" s="1">
        <v>20</v>
      </c>
      <c r="H76" s="1" t="str">
        <f t="shared" si="14"/>
        <v>Needs improvement</v>
      </c>
      <c r="I76" s="1">
        <v>48527.83</v>
      </c>
      <c r="J76" s="1">
        <v>2023</v>
      </c>
      <c r="K76" s="1">
        <v>5.2</v>
      </c>
      <c r="L76" s="30">
        <f t="shared" si="15"/>
        <v>0.5</v>
      </c>
      <c r="M76" s="33">
        <f t="shared" si="16"/>
        <v>0.35</v>
      </c>
      <c r="N76" s="33">
        <f t="shared" si="17"/>
        <v>0.15</v>
      </c>
      <c r="O76" s="38">
        <f t="shared" si="18"/>
        <v>2426.3915000000002</v>
      </c>
      <c r="P76" s="1" t="str">
        <f t="shared" si="19"/>
        <v>Low GDP</v>
      </c>
      <c r="Q76" s="39" t="str">
        <f t="shared" si="20"/>
        <v>Low performer</v>
      </c>
      <c r="R76" s="8"/>
      <c r="S76" s="8"/>
      <c r="T76" s="8"/>
      <c r="U76" s="8"/>
      <c r="V76" s="8"/>
      <c r="W76" s="8"/>
      <c r="X76" s="8"/>
    </row>
    <row r="77" spans="1:24" x14ac:dyDescent="0.25">
      <c r="A77" s="13" t="s">
        <v>52</v>
      </c>
      <c r="B77" s="1" t="s">
        <v>53</v>
      </c>
      <c r="C77" s="1" t="s">
        <v>13</v>
      </c>
      <c r="D77" s="1">
        <v>3</v>
      </c>
      <c r="E77" s="1">
        <v>3</v>
      </c>
      <c r="F77" s="1">
        <v>1</v>
      </c>
      <c r="G77" s="1">
        <v>7</v>
      </c>
      <c r="H77" s="1" t="str">
        <f t="shared" si="14"/>
        <v>Needs improvement</v>
      </c>
      <c r="I77" s="1">
        <v>8120.36</v>
      </c>
      <c r="J77" s="1">
        <v>2023</v>
      </c>
      <c r="K77" s="1">
        <v>3.8</v>
      </c>
      <c r="L77" s="30">
        <f t="shared" si="15"/>
        <v>0.42857142857142855</v>
      </c>
      <c r="M77" s="33">
        <f t="shared" si="16"/>
        <v>0.42857142857142855</v>
      </c>
      <c r="N77" s="33">
        <f t="shared" si="17"/>
        <v>0.14285714285714285</v>
      </c>
      <c r="O77" s="38">
        <f t="shared" si="18"/>
        <v>1160.0514285714285</v>
      </c>
      <c r="P77" s="1" t="str">
        <f t="shared" si="19"/>
        <v>Low GDP</v>
      </c>
      <c r="Q77" s="39" t="str">
        <f t="shared" si="20"/>
        <v>Low performer</v>
      </c>
      <c r="R77" s="8"/>
      <c r="S77" s="8"/>
      <c r="T77" s="8"/>
      <c r="U77" s="8"/>
      <c r="V77" s="8"/>
      <c r="W77" s="8"/>
      <c r="X77" s="8"/>
    </row>
    <row r="78" spans="1:24" x14ac:dyDescent="0.25">
      <c r="A78" s="13" t="s">
        <v>86</v>
      </c>
      <c r="B78" s="1" t="s">
        <v>87</v>
      </c>
      <c r="C78" s="1" t="s">
        <v>5</v>
      </c>
      <c r="D78" s="1">
        <v>1</v>
      </c>
      <c r="E78" s="1">
        <v>5</v>
      </c>
      <c r="F78" s="1">
        <v>1</v>
      </c>
      <c r="G78" s="1">
        <v>7</v>
      </c>
      <c r="H78" s="1" t="str">
        <f t="shared" si="14"/>
        <v>Needs improvement</v>
      </c>
      <c r="I78" s="1">
        <v>52261.68</v>
      </c>
      <c r="J78" s="1">
        <v>2023</v>
      </c>
      <c r="K78" s="1">
        <v>9.8000000000000007</v>
      </c>
      <c r="L78" s="30">
        <f t="shared" si="15"/>
        <v>0.14285714285714285</v>
      </c>
      <c r="M78" s="33">
        <f t="shared" si="16"/>
        <v>0.7142857142857143</v>
      </c>
      <c r="N78" s="33">
        <f t="shared" si="17"/>
        <v>0.14285714285714285</v>
      </c>
      <c r="O78" s="38">
        <f t="shared" si="18"/>
        <v>7465.954285714286</v>
      </c>
      <c r="P78" s="1" t="str">
        <f t="shared" si="19"/>
        <v>High GDP</v>
      </c>
      <c r="Q78" s="39" t="str">
        <f t="shared" si="20"/>
        <v>Low performer</v>
      </c>
      <c r="R78" s="8"/>
      <c r="S78" s="8"/>
      <c r="T78" s="8"/>
      <c r="U78" s="8"/>
      <c r="V78" s="8"/>
      <c r="W78" s="8"/>
      <c r="X78" s="8"/>
    </row>
    <row r="79" spans="1:24" x14ac:dyDescent="0.25">
      <c r="A79" s="13" t="s">
        <v>129</v>
      </c>
      <c r="B79" s="1" t="s">
        <v>130</v>
      </c>
      <c r="C79" s="1" t="s">
        <v>120</v>
      </c>
      <c r="D79" s="1">
        <v>1</v>
      </c>
      <c r="E79" s="1">
        <v>0</v>
      </c>
      <c r="F79" s="1">
        <v>0</v>
      </c>
      <c r="G79" s="1">
        <v>1</v>
      </c>
      <c r="H79" s="1" t="str">
        <f t="shared" si="14"/>
        <v>Needs improvement</v>
      </c>
      <c r="I79" s="1">
        <v>8953.9</v>
      </c>
      <c r="J79" s="1">
        <v>2023</v>
      </c>
      <c r="K79" s="1">
        <v>0.1</v>
      </c>
      <c r="L79" s="30">
        <f t="shared" si="15"/>
        <v>1</v>
      </c>
      <c r="M79" s="33">
        <f t="shared" si="16"/>
        <v>0</v>
      </c>
      <c r="N79" s="33">
        <f t="shared" si="17"/>
        <v>0</v>
      </c>
      <c r="O79" s="38">
        <f t="shared" si="18"/>
        <v>8953.9</v>
      </c>
      <c r="P79" s="1" t="str">
        <f t="shared" si="19"/>
        <v>Low GDP</v>
      </c>
      <c r="Q79" s="39" t="str">
        <f t="shared" si="20"/>
        <v>Low performer</v>
      </c>
      <c r="R79" s="8"/>
      <c r="S79" s="8"/>
      <c r="T79" s="8"/>
      <c r="U79" s="8"/>
      <c r="V79" s="8"/>
      <c r="W79" s="8"/>
      <c r="X79" s="8"/>
    </row>
    <row r="80" spans="1:24" x14ac:dyDescent="0.25">
      <c r="A80" s="13" t="s">
        <v>131</v>
      </c>
      <c r="B80" s="1" t="s">
        <v>132</v>
      </c>
      <c r="C80" s="1" t="s">
        <v>5</v>
      </c>
      <c r="D80" s="1">
        <v>1</v>
      </c>
      <c r="E80" s="1">
        <v>0</v>
      </c>
      <c r="F80" s="1">
        <v>0</v>
      </c>
      <c r="G80" s="1">
        <v>1</v>
      </c>
      <c r="H80" s="1" t="str">
        <f t="shared" si="14"/>
        <v>Needs improvement</v>
      </c>
      <c r="I80" s="1">
        <v>1407.02</v>
      </c>
      <c r="J80" s="1">
        <v>2023</v>
      </c>
      <c r="K80" s="1">
        <v>240.5</v>
      </c>
      <c r="L80" s="30">
        <f t="shared" si="15"/>
        <v>1</v>
      </c>
      <c r="M80" s="33">
        <f t="shared" si="16"/>
        <v>0</v>
      </c>
      <c r="N80" s="33">
        <f t="shared" si="17"/>
        <v>0</v>
      </c>
      <c r="O80" s="38">
        <f t="shared" si="18"/>
        <v>1407.02</v>
      </c>
      <c r="P80" s="1" t="str">
        <f t="shared" si="19"/>
        <v>Low GDP</v>
      </c>
      <c r="Q80" s="39" t="str">
        <f t="shared" si="20"/>
        <v>Low performer</v>
      </c>
      <c r="R80" s="8"/>
      <c r="S80" s="8"/>
      <c r="T80" s="8"/>
      <c r="U80" s="8"/>
      <c r="V80" s="8"/>
      <c r="W80" s="8"/>
      <c r="X80" s="8"/>
    </row>
    <row r="81" spans="1:24" x14ac:dyDescent="0.25">
      <c r="A81" s="13" t="s">
        <v>72</v>
      </c>
      <c r="B81" s="1" t="s">
        <v>73</v>
      </c>
      <c r="C81" s="1" t="s">
        <v>13</v>
      </c>
      <c r="D81" s="1">
        <v>2</v>
      </c>
      <c r="E81" s="1">
        <v>1</v>
      </c>
      <c r="F81" s="1">
        <v>0</v>
      </c>
      <c r="G81" s="1">
        <v>3</v>
      </c>
      <c r="H81" s="1" t="str">
        <f t="shared" si="14"/>
        <v>Needs improvement</v>
      </c>
      <c r="I81" s="1">
        <v>32163.51</v>
      </c>
      <c r="J81" s="1">
        <v>2023</v>
      </c>
      <c r="K81" s="1">
        <v>2.1</v>
      </c>
      <c r="L81" s="30">
        <f t="shared" si="15"/>
        <v>0.66666666666666663</v>
      </c>
      <c r="M81" s="33">
        <f t="shared" si="16"/>
        <v>0.33333333333333331</v>
      </c>
      <c r="N81" s="33">
        <f t="shared" si="17"/>
        <v>0</v>
      </c>
      <c r="O81" s="38">
        <f t="shared" si="18"/>
        <v>10721.17</v>
      </c>
      <c r="P81" s="1" t="str">
        <f t="shared" si="19"/>
        <v>Low GDP</v>
      </c>
      <c r="Q81" s="39" t="str">
        <f t="shared" si="20"/>
        <v>Low performer</v>
      </c>
      <c r="R81" s="8"/>
      <c r="S81" s="8"/>
      <c r="T81" s="8"/>
      <c r="U81" s="8"/>
      <c r="V81" s="8"/>
      <c r="W81" s="8"/>
      <c r="X81" s="8"/>
    </row>
    <row r="82" spans="1:24" x14ac:dyDescent="0.25">
      <c r="A82" s="13" t="s">
        <v>114</v>
      </c>
      <c r="B82" s="1" t="s">
        <v>115</v>
      </c>
      <c r="C82" s="1" t="s">
        <v>38</v>
      </c>
      <c r="D82" s="1">
        <v>1</v>
      </c>
      <c r="E82" s="1">
        <v>1</v>
      </c>
      <c r="F82" s="1">
        <v>0</v>
      </c>
      <c r="G82" s="1">
        <v>2</v>
      </c>
      <c r="H82" s="1" t="str">
        <f t="shared" si="14"/>
        <v>Needs improvement</v>
      </c>
      <c r="I82" s="1">
        <v>7249.8</v>
      </c>
      <c r="J82" s="1">
        <v>2023</v>
      </c>
      <c r="K82" s="1">
        <v>2.7</v>
      </c>
      <c r="L82" s="30">
        <f t="shared" si="15"/>
        <v>0.5</v>
      </c>
      <c r="M82" s="33">
        <f t="shared" si="16"/>
        <v>0.5</v>
      </c>
      <c r="N82" s="33">
        <f t="shared" si="17"/>
        <v>0</v>
      </c>
      <c r="O82" s="38">
        <f t="shared" si="18"/>
        <v>3624.9</v>
      </c>
      <c r="P82" s="1" t="str">
        <f t="shared" si="19"/>
        <v>Low GDP</v>
      </c>
      <c r="Q82" s="39" t="str">
        <f t="shared" si="20"/>
        <v>Low performer</v>
      </c>
      <c r="R82" s="8"/>
      <c r="S82" s="8"/>
      <c r="T82" s="8"/>
      <c r="U82" s="8"/>
      <c r="V82" s="8"/>
      <c r="W82" s="8"/>
      <c r="X82" s="8"/>
    </row>
    <row r="83" spans="1:24" x14ac:dyDescent="0.25">
      <c r="A83" s="13" t="s">
        <v>116</v>
      </c>
      <c r="B83" s="1" t="s">
        <v>117</v>
      </c>
      <c r="C83" s="1" t="s">
        <v>45</v>
      </c>
      <c r="D83" s="1">
        <v>1</v>
      </c>
      <c r="E83" s="1">
        <v>1</v>
      </c>
      <c r="F83" s="1">
        <v>0</v>
      </c>
      <c r="G83" s="1">
        <v>2</v>
      </c>
      <c r="H83" s="1" t="str">
        <f t="shared" si="14"/>
        <v>Needs improvement</v>
      </c>
      <c r="I83" s="1">
        <v>17093.240000000002</v>
      </c>
      <c r="J83" s="1">
        <v>2023</v>
      </c>
      <c r="K83" s="1">
        <v>19.600000000000001</v>
      </c>
      <c r="L83" s="30">
        <f t="shared" si="15"/>
        <v>0.5</v>
      </c>
      <c r="M83" s="33">
        <f t="shared" si="16"/>
        <v>0.5</v>
      </c>
      <c r="N83" s="33">
        <f t="shared" si="17"/>
        <v>0</v>
      </c>
      <c r="O83" s="38">
        <f t="shared" si="18"/>
        <v>8546.6200000000008</v>
      </c>
      <c r="P83" s="1" t="str">
        <f t="shared" si="19"/>
        <v>Low GDP</v>
      </c>
      <c r="Q83" s="39" t="str">
        <f t="shared" si="20"/>
        <v>Low performer</v>
      </c>
      <c r="R83" s="8"/>
      <c r="S83" s="8"/>
      <c r="T83" s="8"/>
      <c r="U83" s="8"/>
      <c r="V83" s="8"/>
      <c r="W83" s="8"/>
      <c r="X83" s="8"/>
    </row>
    <row r="84" spans="1:24" x14ac:dyDescent="0.25">
      <c r="A84" s="13" t="s">
        <v>118</v>
      </c>
      <c r="B84" s="1" t="s">
        <v>119</v>
      </c>
      <c r="C84" s="1" t="s">
        <v>120</v>
      </c>
      <c r="D84" s="1">
        <v>1</v>
      </c>
      <c r="E84" s="1">
        <v>1</v>
      </c>
      <c r="F84" s="1">
        <v>0</v>
      </c>
      <c r="G84" s="1">
        <v>2</v>
      </c>
      <c r="H84" s="1" t="str">
        <f t="shared" si="14"/>
        <v>Needs improvement</v>
      </c>
      <c r="I84" s="1">
        <v>13980.09</v>
      </c>
      <c r="J84" s="1">
        <v>2023</v>
      </c>
      <c r="K84" s="1">
        <v>0.2</v>
      </c>
      <c r="L84" s="30">
        <f t="shared" si="15"/>
        <v>0.5</v>
      </c>
      <c r="M84" s="33">
        <f t="shared" si="16"/>
        <v>0.5</v>
      </c>
      <c r="N84" s="33">
        <f t="shared" si="17"/>
        <v>0</v>
      </c>
      <c r="O84" s="38">
        <f t="shared" si="18"/>
        <v>6990.0450000000001</v>
      </c>
      <c r="P84" s="1" t="str">
        <f t="shared" si="19"/>
        <v>Low GDP</v>
      </c>
      <c r="Q84" s="39" t="str">
        <f t="shared" si="20"/>
        <v>Low performer</v>
      </c>
      <c r="R84" s="8"/>
      <c r="S84" s="8"/>
      <c r="T84" s="8"/>
      <c r="U84" s="8"/>
      <c r="V84" s="8"/>
      <c r="W84" s="8"/>
      <c r="X84" s="8"/>
    </row>
    <row r="85" spans="1:24" x14ac:dyDescent="0.25">
      <c r="A85" s="13" t="s">
        <v>121</v>
      </c>
      <c r="B85" s="1" t="s">
        <v>122</v>
      </c>
      <c r="C85" s="1" t="s">
        <v>38</v>
      </c>
      <c r="D85" s="1">
        <v>1</v>
      </c>
      <c r="E85" s="1">
        <v>1</v>
      </c>
      <c r="F85" s="1">
        <v>0</v>
      </c>
      <c r="G85" s="1">
        <v>2</v>
      </c>
      <c r="H85" s="1" t="str">
        <f t="shared" si="14"/>
        <v>Needs improvement</v>
      </c>
      <c r="I85" s="1">
        <v>1014.21</v>
      </c>
      <c r="J85" s="1">
        <v>2023</v>
      </c>
      <c r="K85" s="1">
        <v>48.6</v>
      </c>
      <c r="L85" s="30">
        <f t="shared" si="15"/>
        <v>0.5</v>
      </c>
      <c r="M85" s="33">
        <f t="shared" si="16"/>
        <v>0.5</v>
      </c>
      <c r="N85" s="33">
        <f t="shared" si="17"/>
        <v>0</v>
      </c>
      <c r="O85" s="38">
        <f t="shared" si="18"/>
        <v>507.10500000000002</v>
      </c>
      <c r="P85" s="1" t="str">
        <f t="shared" si="19"/>
        <v>Low GDP</v>
      </c>
      <c r="Q85" s="39" t="str">
        <f t="shared" si="20"/>
        <v>Low performer</v>
      </c>
      <c r="R85" s="8"/>
      <c r="S85" s="8"/>
      <c r="T85" s="8"/>
      <c r="U85" s="8"/>
      <c r="V85" s="8"/>
      <c r="W85" s="8"/>
      <c r="X85" s="8"/>
    </row>
    <row r="86" spans="1:24" x14ac:dyDescent="0.25">
      <c r="A86" s="13" t="s">
        <v>98</v>
      </c>
      <c r="B86" s="1" t="s">
        <v>99</v>
      </c>
      <c r="C86" s="1" t="s">
        <v>38</v>
      </c>
      <c r="D86" s="1">
        <v>1</v>
      </c>
      <c r="E86" s="1">
        <v>3</v>
      </c>
      <c r="F86" s="1">
        <v>0</v>
      </c>
      <c r="G86" s="1">
        <v>4</v>
      </c>
      <c r="H86" s="1" t="str">
        <f t="shared" si="14"/>
        <v>Needs improvement</v>
      </c>
      <c r="I86" s="1">
        <v>1293.78</v>
      </c>
      <c r="J86" s="1">
        <v>2023</v>
      </c>
      <c r="K86" s="1">
        <v>126.5</v>
      </c>
      <c r="L86" s="30">
        <f t="shared" si="15"/>
        <v>0.25</v>
      </c>
      <c r="M86" s="33">
        <f t="shared" si="16"/>
        <v>0.75</v>
      </c>
      <c r="N86" s="33">
        <f t="shared" si="17"/>
        <v>0</v>
      </c>
      <c r="O86" s="38">
        <f t="shared" si="18"/>
        <v>323.44499999999999</v>
      </c>
      <c r="P86" s="1" t="str">
        <f t="shared" si="19"/>
        <v>Low GDP</v>
      </c>
      <c r="Q86" s="39" t="str">
        <f t="shared" si="20"/>
        <v>Low performer</v>
      </c>
      <c r="R86" s="8"/>
      <c r="S86" s="8"/>
      <c r="T86" s="8"/>
      <c r="U86" s="8"/>
      <c r="V86" s="8"/>
      <c r="W86" s="8"/>
      <c r="X86" s="8"/>
    </row>
    <row r="87" spans="1:24" x14ac:dyDescent="0.25">
      <c r="A87" s="13" t="s">
        <v>153</v>
      </c>
      <c r="B87" s="1" t="s">
        <v>154</v>
      </c>
      <c r="C87" s="1" t="s">
        <v>13</v>
      </c>
      <c r="D87" s="1">
        <v>0</v>
      </c>
      <c r="E87" s="1">
        <v>1</v>
      </c>
      <c r="F87" s="1">
        <v>0</v>
      </c>
      <c r="G87" s="1">
        <v>1</v>
      </c>
      <c r="H87" s="1" t="str">
        <f t="shared" si="14"/>
        <v>Needs improvement</v>
      </c>
      <c r="I87" s="1">
        <v>34701.440000000002</v>
      </c>
      <c r="J87" s="1">
        <v>2023</v>
      </c>
      <c r="K87" s="1">
        <v>1.3</v>
      </c>
      <c r="L87" s="30">
        <f t="shared" si="15"/>
        <v>0</v>
      </c>
      <c r="M87" s="33">
        <f t="shared" si="16"/>
        <v>1</v>
      </c>
      <c r="N87" s="33">
        <f t="shared" si="17"/>
        <v>0</v>
      </c>
      <c r="O87" s="38">
        <f t="shared" si="18"/>
        <v>34701.440000000002</v>
      </c>
      <c r="P87" s="1" t="str">
        <f t="shared" si="19"/>
        <v>Low GDP</v>
      </c>
      <c r="Q87" s="39" t="str">
        <f t="shared" si="20"/>
        <v>Low performer</v>
      </c>
      <c r="R87" s="8"/>
      <c r="S87" s="8"/>
      <c r="T87" s="8"/>
      <c r="U87" s="8"/>
      <c r="V87" s="8"/>
      <c r="W87" s="8"/>
      <c r="X87" s="8"/>
    </row>
    <row r="88" spans="1:24" x14ac:dyDescent="0.25">
      <c r="A88" s="13" t="s">
        <v>155</v>
      </c>
      <c r="B88" s="1" t="s">
        <v>156</v>
      </c>
      <c r="C88" s="1" t="s">
        <v>10</v>
      </c>
      <c r="D88" s="1">
        <v>0</v>
      </c>
      <c r="E88" s="1">
        <v>1</v>
      </c>
      <c r="F88" s="1">
        <v>0</v>
      </c>
      <c r="G88" s="1">
        <v>1</v>
      </c>
      <c r="H88" s="1" t="str">
        <f t="shared" si="14"/>
        <v>Needs improvement</v>
      </c>
      <c r="I88" s="1">
        <v>5868.16</v>
      </c>
      <c r="J88" s="1">
        <v>2023</v>
      </c>
      <c r="K88" s="1">
        <v>0.9</v>
      </c>
      <c r="L88" s="30">
        <f t="shared" si="15"/>
        <v>0</v>
      </c>
      <c r="M88" s="33">
        <f t="shared" si="16"/>
        <v>1</v>
      </c>
      <c r="N88" s="33">
        <f t="shared" si="17"/>
        <v>0</v>
      </c>
      <c r="O88" s="38">
        <f t="shared" si="18"/>
        <v>5868.16</v>
      </c>
      <c r="P88" s="1" t="str">
        <f t="shared" si="19"/>
        <v>Low GDP</v>
      </c>
      <c r="Q88" s="39" t="str">
        <f t="shared" si="20"/>
        <v>Low performer</v>
      </c>
      <c r="R88" s="8"/>
      <c r="S88" s="8"/>
      <c r="T88" s="8"/>
      <c r="U88" s="8"/>
      <c r="V88" s="8"/>
      <c r="W88" s="8"/>
      <c r="X88" s="8"/>
    </row>
    <row r="89" spans="1:24" x14ac:dyDescent="0.25">
      <c r="A89" s="13" t="s">
        <v>157</v>
      </c>
      <c r="B89" s="1" t="s">
        <v>158</v>
      </c>
      <c r="C89" s="1" t="s">
        <v>5</v>
      </c>
      <c r="D89" s="1">
        <v>0</v>
      </c>
      <c r="E89" s="1">
        <v>1</v>
      </c>
      <c r="F89" s="1">
        <v>0</v>
      </c>
      <c r="G89" s="1">
        <v>1</v>
      </c>
      <c r="H89" s="1" t="str">
        <f t="shared" si="14"/>
        <v>Needs improvement</v>
      </c>
      <c r="I89" s="1">
        <v>4482.09</v>
      </c>
      <c r="J89" s="1">
        <v>2023</v>
      </c>
      <c r="K89" s="1">
        <v>11.3</v>
      </c>
      <c r="L89" s="30">
        <f t="shared" si="15"/>
        <v>0</v>
      </c>
      <c r="M89" s="33">
        <f t="shared" si="16"/>
        <v>1</v>
      </c>
      <c r="N89" s="33">
        <f t="shared" si="17"/>
        <v>0</v>
      </c>
      <c r="O89" s="38">
        <f t="shared" si="18"/>
        <v>4482.09</v>
      </c>
      <c r="P89" s="1" t="str">
        <f t="shared" si="19"/>
        <v>Low GDP</v>
      </c>
      <c r="Q89" s="39" t="str">
        <f t="shared" si="20"/>
        <v>Low performer</v>
      </c>
      <c r="R89" s="8"/>
      <c r="S89" s="8"/>
      <c r="T89" s="8"/>
      <c r="U89" s="8"/>
      <c r="V89" s="8"/>
      <c r="W89" s="8"/>
      <c r="X89" s="8"/>
    </row>
    <row r="90" spans="1:24" x14ac:dyDescent="0.25">
      <c r="A90" s="13" t="s">
        <v>159</v>
      </c>
      <c r="B90" s="1" t="s">
        <v>160</v>
      </c>
      <c r="C90" s="1" t="s">
        <v>5</v>
      </c>
      <c r="D90" s="1">
        <v>0</v>
      </c>
      <c r="E90" s="1">
        <v>1</v>
      </c>
      <c r="F90" s="1">
        <v>0</v>
      </c>
      <c r="G90" s="1">
        <v>1</v>
      </c>
      <c r="H90" s="1" t="str">
        <f t="shared" si="14"/>
        <v>Needs improvement</v>
      </c>
      <c r="I90" s="1">
        <v>5764.8</v>
      </c>
      <c r="J90" s="1">
        <v>2023</v>
      </c>
      <c r="K90" s="1">
        <v>3.4</v>
      </c>
      <c r="L90" s="30">
        <f t="shared" si="15"/>
        <v>0</v>
      </c>
      <c r="M90" s="33">
        <f t="shared" si="16"/>
        <v>1</v>
      </c>
      <c r="N90" s="33">
        <f t="shared" si="17"/>
        <v>0</v>
      </c>
      <c r="O90" s="38">
        <f t="shared" si="18"/>
        <v>5764.8</v>
      </c>
      <c r="P90" s="1" t="str">
        <f t="shared" si="19"/>
        <v>Low GDP</v>
      </c>
      <c r="Q90" s="39" t="str">
        <f t="shared" si="20"/>
        <v>Low performer</v>
      </c>
      <c r="R90" s="8"/>
      <c r="S90" s="8"/>
      <c r="T90" s="8"/>
      <c r="U90" s="8"/>
      <c r="V90" s="8"/>
      <c r="W90" s="8"/>
      <c r="X90" s="8"/>
    </row>
    <row r="91" spans="1:24" x14ac:dyDescent="0.25">
      <c r="A91" s="22" t="s">
        <v>161</v>
      </c>
      <c r="B91" s="23" t="s">
        <v>162</v>
      </c>
      <c r="C91" s="23" t="s">
        <v>45</v>
      </c>
      <c r="D91" s="23">
        <v>0</v>
      </c>
      <c r="E91" s="23">
        <v>1</v>
      </c>
      <c r="F91" s="23">
        <v>0</v>
      </c>
      <c r="G91" s="23">
        <v>1</v>
      </c>
      <c r="H91" s="23" t="str">
        <f t="shared" si="14"/>
        <v>Needs improvement</v>
      </c>
      <c r="I91" s="23">
        <v>18661.77</v>
      </c>
      <c r="J91" s="23">
        <v>2023</v>
      </c>
      <c r="K91" s="23">
        <v>4.5</v>
      </c>
      <c r="L91" s="30">
        <f t="shared" si="15"/>
        <v>0</v>
      </c>
      <c r="M91" s="34">
        <f t="shared" si="16"/>
        <v>1</v>
      </c>
      <c r="N91" s="34">
        <f t="shared" si="17"/>
        <v>0</v>
      </c>
      <c r="O91" s="40">
        <f t="shared" si="18"/>
        <v>18661.77</v>
      </c>
      <c r="P91" s="23" t="str">
        <f t="shared" si="19"/>
        <v>Low GDP</v>
      </c>
      <c r="Q91" s="41" t="str">
        <f t="shared" si="20"/>
        <v>Low performer</v>
      </c>
      <c r="R91" s="8"/>
      <c r="S91" s="8"/>
      <c r="T91" s="8"/>
      <c r="U91" s="8"/>
      <c r="V91" s="8"/>
      <c r="W91" s="8"/>
      <c r="X91" s="8"/>
    </row>
  </sheetData>
  <conditionalFormatting sqref="D1:D1048576">
    <cfRule type="cellIs" dxfId="6" priority="13" operator="greaterThan">
      <formula>5</formula>
    </cfRule>
  </conditionalFormatting>
  <conditionalFormatting sqref="E1:E1048576">
    <cfRule type="cellIs" dxfId="5" priority="12" operator="lessThan">
      <formula>15</formula>
    </cfRule>
  </conditionalFormatting>
  <conditionalFormatting sqref="F1:F1048576">
    <cfRule type="cellIs" dxfId="4" priority="11" operator="between">
      <formula>5</formula>
      <formula>30</formula>
    </cfRule>
  </conditionalFormatting>
  <conditionalFormatting sqref="I1:I1048576">
    <cfRule type="top10" dxfId="3" priority="10" rank="15"/>
  </conditionalFormatting>
  <conditionalFormatting sqref="K1:K1048576">
    <cfRule type="top10" dxfId="2" priority="3" rank="10"/>
  </conditionalFormatting>
  <conditionalFormatting sqref="L1:L1048576">
    <cfRule type="dataBar" priority="1">
      <dataBar>
        <cfvo type="min"/>
        <cfvo type="max"/>
        <color rgb="FF008AEF"/>
      </dataBar>
      <extLst>
        <ext xmlns:x14="http://schemas.microsoft.com/office/spreadsheetml/2009/9/main" uri="{B025F937-C7B1-47D3-B67F-A62EFF666E3E}">
          <x14:id>{B7D02D17-0943-4490-B466-95067697327F}</x14:id>
        </ext>
      </extLst>
    </cfRule>
  </conditionalFormatting>
  <conditionalFormatting sqref="M1:M1048576">
    <cfRule type="colorScale" priority="7">
      <colorScale>
        <cfvo type="min"/>
        <cfvo type="percentile" val="50"/>
        <cfvo type="max"/>
        <color rgb="FFF8696B"/>
        <color rgb="FFFFEB84"/>
        <color rgb="FF63BE7B"/>
      </colorScale>
    </cfRule>
  </conditionalFormatting>
  <conditionalFormatting sqref="N1:N1048576">
    <cfRule type="top10" dxfId="1" priority="4" percent="1" rank="10"/>
    <cfRule type="top10" dxfId="0" priority="6" percent="1" rank="10"/>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7D02D17-0943-4490-B466-95067697327F}">
            <x14:dataBar minLength="0" maxLength="100" border="1" negativeBarBorderColorSameAsPositive="0">
              <x14:cfvo type="autoMin"/>
              <x14:cfvo type="autoMax"/>
              <x14:borderColor rgb="FF008AEF"/>
              <x14:negativeFillColor rgb="FFFF0000"/>
              <x14:negativeBorderColor rgb="FFFF0000"/>
              <x14:axisColor rgb="FF000000"/>
            </x14:dataBar>
          </x14:cfRule>
          <xm:sqref>L1:L1048576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EF4F5-6A37-4B22-AC77-E3E4F10017B4}">
  <sheetPr>
    <tabColor theme="0" tint="-0.34998626667073579"/>
  </sheetPr>
  <dimension ref="A1:X91"/>
  <sheetViews>
    <sheetView workbookViewId="0">
      <selection activeCell="J41" sqref="J41"/>
    </sheetView>
  </sheetViews>
  <sheetFormatPr defaultRowHeight="15" x14ac:dyDescent="0.25"/>
  <cols>
    <col min="1" max="1" width="18.85546875" style="2" bestFit="1" customWidth="1"/>
    <col min="2" max="2" width="18" style="2" bestFit="1" customWidth="1"/>
    <col min="3" max="3" width="14" style="2" bestFit="1" customWidth="1"/>
    <col min="4" max="4" width="9.85546875" style="2" bestFit="1" customWidth="1"/>
    <col min="5" max="5" width="10.5703125" style="2" bestFit="1" customWidth="1"/>
    <col min="6" max="6" width="11.7109375" style="2" bestFit="1" customWidth="1"/>
    <col min="7" max="7" width="10" style="2" bestFit="1" customWidth="1"/>
    <col min="8" max="8" width="20.85546875" style="4" bestFit="1" customWidth="1"/>
    <col min="9" max="9" width="10" style="2" bestFit="1" customWidth="1"/>
    <col min="10" max="10" width="14.28515625" style="2" bestFit="1" customWidth="1"/>
    <col min="11" max="11" width="15.28515625" style="2" bestFit="1" customWidth="1"/>
    <col min="12" max="12" width="11.85546875" style="5" bestFit="1" customWidth="1"/>
    <col min="13" max="13" width="12.140625" style="6" bestFit="1" customWidth="1"/>
    <col min="14" max="14" width="13.28515625" style="4" bestFit="1" customWidth="1"/>
    <col min="15" max="15" width="19" style="7" bestFit="1" customWidth="1"/>
    <col min="16" max="16" width="17.85546875" style="4" bestFit="1" customWidth="1"/>
    <col min="17" max="17" width="24.140625" style="4" bestFit="1" customWidth="1"/>
  </cols>
  <sheetData>
    <row r="1" spans="1:24" x14ac:dyDescent="0.25">
      <c r="A1" s="15" t="s">
        <v>238</v>
      </c>
      <c r="B1" s="16" t="s">
        <v>239</v>
      </c>
      <c r="C1" s="16" t="s">
        <v>240</v>
      </c>
      <c r="D1" s="16" t="s">
        <v>241</v>
      </c>
      <c r="E1" s="16" t="s">
        <v>242</v>
      </c>
      <c r="F1" s="16" t="s">
        <v>243</v>
      </c>
      <c r="G1" s="16" t="s">
        <v>244</v>
      </c>
      <c r="H1" s="17" t="s">
        <v>253</v>
      </c>
      <c r="I1" s="16" t="s">
        <v>245</v>
      </c>
      <c r="J1" s="16" t="s">
        <v>246</v>
      </c>
      <c r="K1" s="16" t="s">
        <v>247</v>
      </c>
      <c r="L1" s="18" t="s">
        <v>248</v>
      </c>
      <c r="M1" s="19" t="s">
        <v>249</v>
      </c>
      <c r="N1" s="17" t="s">
        <v>250</v>
      </c>
      <c r="O1" s="20" t="s">
        <v>251</v>
      </c>
      <c r="P1" s="17" t="s">
        <v>252</v>
      </c>
      <c r="Q1" s="21" t="s">
        <v>254</v>
      </c>
      <c r="R1" s="8"/>
      <c r="S1" s="8"/>
      <c r="T1" s="8"/>
      <c r="U1" s="8"/>
      <c r="V1" s="8"/>
      <c r="W1" s="8"/>
      <c r="X1" s="8"/>
    </row>
    <row r="2" spans="1:24" hidden="1" x14ac:dyDescent="0.25">
      <c r="A2" s="13" t="s">
        <v>0</v>
      </c>
      <c r="B2" s="1" t="s">
        <v>1</v>
      </c>
      <c r="C2" s="1" t="s">
        <v>2</v>
      </c>
      <c r="D2" s="1">
        <v>40</v>
      </c>
      <c r="E2" s="1">
        <v>44</v>
      </c>
      <c r="F2" s="1">
        <v>42</v>
      </c>
      <c r="G2" s="1">
        <v>126</v>
      </c>
      <c r="H2" s="9" t="str">
        <f t="shared" ref="H2:H33" si="0">IF(G2&gt;=100,"Excellent","Needs improvement")</f>
        <v>Excellent</v>
      </c>
      <c r="I2" s="1">
        <v>81695.19</v>
      </c>
      <c r="J2" s="1">
        <v>2023</v>
      </c>
      <c r="K2" s="1">
        <v>334.9</v>
      </c>
      <c r="L2" s="10">
        <f t="shared" ref="L2:L33" si="1">D2/G2</f>
        <v>0.31746031746031744</v>
      </c>
      <c r="M2" s="11">
        <f t="shared" ref="M2:M33" si="2">E2/G2</f>
        <v>0.34920634920634919</v>
      </c>
      <c r="N2" s="11">
        <f t="shared" ref="N2:N33" si="3">F2/G2</f>
        <v>0.33333333333333331</v>
      </c>
      <c r="O2" s="12">
        <f t="shared" ref="O2:O33" si="4">I2/G2</f>
        <v>648.37452380952379</v>
      </c>
      <c r="P2" s="9" t="str">
        <f t="shared" ref="P2:P33" si="5">IF(I2&gt;=50000,"High GDP","Low GDP")</f>
        <v>High GDP</v>
      </c>
      <c r="Q2" s="14" t="str">
        <f t="shared" ref="Q2:Q33" si="6">IF(D2&gt;=20,"Top performer","Low performer")</f>
        <v>Top performer</v>
      </c>
      <c r="R2" s="8"/>
      <c r="S2" s="8"/>
      <c r="T2" s="8"/>
      <c r="U2" s="8"/>
      <c r="V2" s="8"/>
      <c r="W2" s="8"/>
      <c r="X2" s="8"/>
    </row>
    <row r="3" spans="1:24" x14ac:dyDescent="0.25">
      <c r="A3" s="13" t="s">
        <v>3</v>
      </c>
      <c r="B3" s="1" t="s">
        <v>4</v>
      </c>
      <c r="C3" s="1" t="s">
        <v>5</v>
      </c>
      <c r="D3" s="1">
        <v>40</v>
      </c>
      <c r="E3" s="1">
        <v>27</v>
      </c>
      <c r="F3" s="1">
        <v>24</v>
      </c>
      <c r="G3" s="1">
        <v>91</v>
      </c>
      <c r="H3" s="9" t="str">
        <f t="shared" si="0"/>
        <v>Needs improvement</v>
      </c>
      <c r="I3" s="1">
        <v>12614.06</v>
      </c>
      <c r="J3" s="1">
        <v>2023</v>
      </c>
      <c r="K3" s="1">
        <v>1410.7</v>
      </c>
      <c r="L3" s="10">
        <f t="shared" si="1"/>
        <v>0.43956043956043955</v>
      </c>
      <c r="M3" s="11">
        <f t="shared" si="2"/>
        <v>0.2967032967032967</v>
      </c>
      <c r="N3" s="11">
        <f t="shared" si="3"/>
        <v>0.26373626373626374</v>
      </c>
      <c r="O3" s="12">
        <f t="shared" si="4"/>
        <v>138.61604395604394</v>
      </c>
      <c r="P3" s="9" t="str">
        <f t="shared" si="5"/>
        <v>Low GDP</v>
      </c>
      <c r="Q3" s="14" t="str">
        <f t="shared" si="6"/>
        <v>Top performer</v>
      </c>
      <c r="R3" s="8"/>
      <c r="S3" s="8"/>
      <c r="T3" s="8"/>
      <c r="U3" s="8"/>
      <c r="V3" s="8"/>
      <c r="W3" s="8"/>
      <c r="X3" s="8"/>
    </row>
    <row r="4" spans="1:24" x14ac:dyDescent="0.25">
      <c r="A4" s="13" t="s">
        <v>6</v>
      </c>
      <c r="B4" s="1" t="s">
        <v>7</v>
      </c>
      <c r="C4" s="1" t="s">
        <v>5</v>
      </c>
      <c r="D4" s="1">
        <v>20</v>
      </c>
      <c r="E4" s="1">
        <v>12</v>
      </c>
      <c r="F4" s="1">
        <v>13</v>
      </c>
      <c r="G4" s="1">
        <v>45</v>
      </c>
      <c r="H4" s="9" t="str">
        <f t="shared" si="0"/>
        <v>Needs improvement</v>
      </c>
      <c r="I4" s="1">
        <v>33834.39</v>
      </c>
      <c r="J4" s="1">
        <v>2023</v>
      </c>
      <c r="K4" s="1">
        <v>124.5</v>
      </c>
      <c r="L4" s="10">
        <f t="shared" si="1"/>
        <v>0.44444444444444442</v>
      </c>
      <c r="M4" s="11">
        <f t="shared" si="2"/>
        <v>0.26666666666666666</v>
      </c>
      <c r="N4" s="11">
        <f t="shared" si="3"/>
        <v>0.28888888888888886</v>
      </c>
      <c r="O4" s="12">
        <f t="shared" si="4"/>
        <v>751.87533333333329</v>
      </c>
      <c r="P4" s="9" t="str">
        <f t="shared" si="5"/>
        <v>Low GDP</v>
      </c>
      <c r="Q4" s="14" t="str">
        <f t="shared" si="6"/>
        <v>Top performer</v>
      </c>
      <c r="R4" s="8"/>
      <c r="S4" s="8"/>
      <c r="T4" s="8"/>
      <c r="U4" s="8"/>
      <c r="V4" s="8"/>
      <c r="W4" s="8"/>
      <c r="X4" s="8"/>
    </row>
    <row r="5" spans="1:24" hidden="1" x14ac:dyDescent="0.25">
      <c r="A5" s="13" t="s">
        <v>8</v>
      </c>
      <c r="B5" s="1" t="s">
        <v>9</v>
      </c>
      <c r="C5" s="1" t="s">
        <v>10</v>
      </c>
      <c r="D5" s="1">
        <v>18</v>
      </c>
      <c r="E5" s="1">
        <v>19</v>
      </c>
      <c r="F5" s="1">
        <v>16</v>
      </c>
      <c r="G5" s="1">
        <v>53</v>
      </c>
      <c r="H5" s="9" t="str">
        <f t="shared" si="0"/>
        <v>Needs improvement</v>
      </c>
      <c r="I5" s="1">
        <v>64711.77</v>
      </c>
      <c r="J5" s="1">
        <v>2023</v>
      </c>
      <c r="K5" s="1">
        <v>26.6</v>
      </c>
      <c r="L5" s="10">
        <f t="shared" si="1"/>
        <v>0.33962264150943394</v>
      </c>
      <c r="M5" s="11">
        <f t="shared" si="2"/>
        <v>0.35849056603773582</v>
      </c>
      <c r="N5" s="11">
        <f t="shared" si="3"/>
        <v>0.30188679245283018</v>
      </c>
      <c r="O5" s="12">
        <f t="shared" si="4"/>
        <v>1220.9767924528301</v>
      </c>
      <c r="P5" s="9" t="str">
        <f t="shared" si="5"/>
        <v>High GDP</v>
      </c>
      <c r="Q5" s="14" t="str">
        <f t="shared" si="6"/>
        <v>Low performer</v>
      </c>
      <c r="R5" s="8"/>
      <c r="S5" s="8"/>
      <c r="T5" s="8"/>
      <c r="U5" s="8"/>
      <c r="V5" s="8"/>
      <c r="W5" s="8"/>
      <c r="X5" s="8"/>
    </row>
    <row r="6" spans="1:24" hidden="1" x14ac:dyDescent="0.25">
      <c r="A6" s="13" t="s">
        <v>11</v>
      </c>
      <c r="B6" s="1" t="s">
        <v>12</v>
      </c>
      <c r="C6" s="1" t="s">
        <v>13</v>
      </c>
      <c r="D6" s="1">
        <v>16</v>
      </c>
      <c r="E6" s="1">
        <v>26</v>
      </c>
      <c r="F6" s="1">
        <v>22</v>
      </c>
      <c r="G6" s="1">
        <v>64</v>
      </c>
      <c r="H6" s="9" t="str">
        <f t="shared" si="0"/>
        <v>Needs improvement</v>
      </c>
      <c r="I6" s="1">
        <v>44460.82</v>
      </c>
      <c r="J6" s="1">
        <v>2023</v>
      </c>
      <c r="K6" s="1">
        <v>68.2</v>
      </c>
      <c r="L6" s="10">
        <f t="shared" si="1"/>
        <v>0.25</v>
      </c>
      <c r="M6" s="11">
        <f t="shared" si="2"/>
        <v>0.40625</v>
      </c>
      <c r="N6" s="11">
        <f t="shared" si="3"/>
        <v>0.34375</v>
      </c>
      <c r="O6" s="12">
        <f t="shared" si="4"/>
        <v>694.7003125</v>
      </c>
      <c r="P6" s="9" t="str">
        <f t="shared" si="5"/>
        <v>Low GDP</v>
      </c>
      <c r="Q6" s="14" t="str">
        <f t="shared" si="6"/>
        <v>Low performer</v>
      </c>
      <c r="R6" s="8"/>
      <c r="S6" s="8"/>
      <c r="T6" s="8"/>
      <c r="U6" s="8"/>
      <c r="V6" s="8"/>
      <c r="W6" s="8"/>
      <c r="X6" s="8"/>
    </row>
    <row r="7" spans="1:24" hidden="1" x14ac:dyDescent="0.25">
      <c r="A7" s="13" t="s">
        <v>14</v>
      </c>
      <c r="B7" s="1" t="s">
        <v>15</v>
      </c>
      <c r="C7" s="1" t="s">
        <v>13</v>
      </c>
      <c r="D7" s="1">
        <v>15</v>
      </c>
      <c r="E7" s="1">
        <v>7</v>
      </c>
      <c r="F7" s="1">
        <v>12</v>
      </c>
      <c r="G7" s="1">
        <v>34</v>
      </c>
      <c r="H7" s="9" t="str">
        <f t="shared" si="0"/>
        <v>Needs improvement</v>
      </c>
      <c r="I7" s="1">
        <v>62536.73</v>
      </c>
      <c r="J7" s="1">
        <v>2023</v>
      </c>
      <c r="K7" s="1">
        <v>17.899999999999999</v>
      </c>
      <c r="L7" s="10">
        <f t="shared" si="1"/>
        <v>0.44117647058823528</v>
      </c>
      <c r="M7" s="11">
        <f t="shared" si="2"/>
        <v>0.20588235294117646</v>
      </c>
      <c r="N7" s="11">
        <f t="shared" si="3"/>
        <v>0.35294117647058826</v>
      </c>
      <c r="O7" s="12">
        <f t="shared" si="4"/>
        <v>1839.3155882352942</v>
      </c>
      <c r="P7" s="9" t="str">
        <f t="shared" si="5"/>
        <v>High GDP</v>
      </c>
      <c r="Q7" s="14" t="str">
        <f t="shared" si="6"/>
        <v>Low performer</v>
      </c>
      <c r="R7" s="8"/>
      <c r="S7" s="8"/>
      <c r="T7" s="8"/>
      <c r="U7" s="8"/>
      <c r="V7" s="8"/>
      <c r="W7" s="8"/>
      <c r="X7" s="8"/>
    </row>
    <row r="8" spans="1:24" hidden="1" x14ac:dyDescent="0.25">
      <c r="A8" s="13" t="s">
        <v>16</v>
      </c>
      <c r="B8" s="1" t="s">
        <v>17</v>
      </c>
      <c r="C8" s="1" t="s">
        <v>13</v>
      </c>
      <c r="D8" s="1">
        <v>14</v>
      </c>
      <c r="E8" s="1">
        <v>22</v>
      </c>
      <c r="F8" s="1">
        <v>29</v>
      </c>
      <c r="G8" s="1">
        <v>65</v>
      </c>
      <c r="H8" s="9" t="str">
        <f t="shared" si="0"/>
        <v>Needs improvement</v>
      </c>
      <c r="I8" s="1">
        <v>48866.6</v>
      </c>
      <c r="J8" s="1">
        <v>2023</v>
      </c>
      <c r="K8" s="1">
        <v>68.3</v>
      </c>
      <c r="L8" s="10">
        <f t="shared" si="1"/>
        <v>0.2153846153846154</v>
      </c>
      <c r="M8" s="11">
        <f t="shared" si="2"/>
        <v>0.33846153846153848</v>
      </c>
      <c r="N8" s="11">
        <f t="shared" si="3"/>
        <v>0.44615384615384618</v>
      </c>
      <c r="O8" s="12">
        <f t="shared" si="4"/>
        <v>751.79384615384618</v>
      </c>
      <c r="P8" s="9" t="str">
        <f t="shared" si="5"/>
        <v>Low GDP</v>
      </c>
      <c r="Q8" s="14" t="str">
        <f t="shared" si="6"/>
        <v>Low performer</v>
      </c>
      <c r="R8" s="8"/>
      <c r="S8" s="8"/>
      <c r="T8" s="8"/>
      <c r="U8" s="8"/>
      <c r="V8" s="8"/>
      <c r="W8" s="8"/>
      <c r="X8" s="8"/>
    </row>
    <row r="9" spans="1:24" x14ac:dyDescent="0.25">
      <c r="A9" s="13" t="s">
        <v>18</v>
      </c>
      <c r="B9" s="1" t="s">
        <v>19</v>
      </c>
      <c r="C9" s="1" t="s">
        <v>5</v>
      </c>
      <c r="D9" s="1">
        <v>13</v>
      </c>
      <c r="E9" s="1">
        <v>9</v>
      </c>
      <c r="F9" s="1">
        <v>10</v>
      </c>
      <c r="G9" s="1">
        <v>32</v>
      </c>
      <c r="H9" s="9" t="str">
        <f t="shared" si="0"/>
        <v>Needs improvement</v>
      </c>
      <c r="I9" s="1">
        <v>33121.370000000003</v>
      </c>
      <c r="J9" s="1">
        <v>2023</v>
      </c>
      <c r="K9" s="1">
        <v>51.7</v>
      </c>
      <c r="L9" s="10">
        <f t="shared" si="1"/>
        <v>0.40625</v>
      </c>
      <c r="M9" s="11">
        <f t="shared" si="2"/>
        <v>0.28125</v>
      </c>
      <c r="N9" s="11">
        <f t="shared" si="3"/>
        <v>0.3125</v>
      </c>
      <c r="O9" s="12">
        <f t="shared" si="4"/>
        <v>1035.0428125000001</v>
      </c>
      <c r="P9" s="9" t="str">
        <f t="shared" si="5"/>
        <v>Low GDP</v>
      </c>
      <c r="Q9" s="14" t="str">
        <f t="shared" si="6"/>
        <v>Low performer</v>
      </c>
      <c r="R9" s="8"/>
      <c r="S9" s="8"/>
      <c r="T9" s="8"/>
      <c r="U9" s="8"/>
      <c r="V9" s="8"/>
      <c r="W9" s="8"/>
      <c r="X9" s="8"/>
    </row>
    <row r="10" spans="1:24" hidden="1" x14ac:dyDescent="0.25">
      <c r="A10" s="13" t="s">
        <v>20</v>
      </c>
      <c r="B10" s="1" t="s">
        <v>21</v>
      </c>
      <c r="C10" s="1" t="s">
        <v>13</v>
      </c>
      <c r="D10" s="1">
        <v>12</v>
      </c>
      <c r="E10" s="1">
        <v>13</v>
      </c>
      <c r="F10" s="1">
        <v>15</v>
      </c>
      <c r="G10" s="1">
        <v>40</v>
      </c>
      <c r="H10" s="9" t="str">
        <f t="shared" si="0"/>
        <v>Needs improvement</v>
      </c>
      <c r="I10" s="1">
        <v>38373.17</v>
      </c>
      <c r="J10" s="1">
        <v>2023</v>
      </c>
      <c r="K10" s="1">
        <v>58.8</v>
      </c>
      <c r="L10" s="10">
        <f t="shared" si="1"/>
        <v>0.3</v>
      </c>
      <c r="M10" s="11">
        <f t="shared" si="2"/>
        <v>0.32500000000000001</v>
      </c>
      <c r="N10" s="11">
        <f t="shared" si="3"/>
        <v>0.375</v>
      </c>
      <c r="O10" s="12">
        <f t="shared" si="4"/>
        <v>959.32925</v>
      </c>
      <c r="P10" s="9" t="str">
        <f t="shared" si="5"/>
        <v>Low GDP</v>
      </c>
      <c r="Q10" s="14" t="str">
        <f t="shared" si="6"/>
        <v>Low performer</v>
      </c>
      <c r="R10" s="8"/>
      <c r="S10" s="8"/>
      <c r="T10" s="8"/>
      <c r="U10" s="8"/>
      <c r="V10" s="8"/>
      <c r="W10" s="8"/>
      <c r="X10" s="8"/>
    </row>
    <row r="11" spans="1:24" hidden="1" x14ac:dyDescent="0.25">
      <c r="A11" s="13" t="s">
        <v>22</v>
      </c>
      <c r="B11" s="1" t="s">
        <v>23</v>
      </c>
      <c r="C11" s="1" t="s">
        <v>13</v>
      </c>
      <c r="D11" s="1">
        <v>12</v>
      </c>
      <c r="E11" s="1">
        <v>13</v>
      </c>
      <c r="F11" s="1">
        <v>8</v>
      </c>
      <c r="G11" s="1">
        <v>33</v>
      </c>
      <c r="H11" s="9" t="str">
        <f t="shared" si="0"/>
        <v>Needs improvement</v>
      </c>
      <c r="I11" s="1">
        <v>52745.760000000002</v>
      </c>
      <c r="J11" s="1">
        <v>2023</v>
      </c>
      <c r="K11" s="1">
        <v>84.5</v>
      </c>
      <c r="L11" s="10">
        <f t="shared" si="1"/>
        <v>0.36363636363636365</v>
      </c>
      <c r="M11" s="11">
        <f t="shared" si="2"/>
        <v>0.39393939393939392</v>
      </c>
      <c r="N11" s="11">
        <f t="shared" si="3"/>
        <v>0.24242424242424243</v>
      </c>
      <c r="O11" s="12">
        <f t="shared" si="4"/>
        <v>1598.3563636363638</v>
      </c>
      <c r="P11" s="9" t="str">
        <f t="shared" si="5"/>
        <v>High GDP</v>
      </c>
      <c r="Q11" s="14" t="str">
        <f t="shared" si="6"/>
        <v>Low performer</v>
      </c>
      <c r="R11" s="8"/>
      <c r="S11" s="8"/>
      <c r="T11" s="8"/>
      <c r="U11" s="8"/>
      <c r="V11" s="8"/>
      <c r="W11" s="8"/>
      <c r="X11" s="8"/>
    </row>
    <row r="12" spans="1:24" hidden="1" x14ac:dyDescent="0.25">
      <c r="A12" s="13" t="s">
        <v>24</v>
      </c>
      <c r="B12" s="1" t="s">
        <v>25</v>
      </c>
      <c r="C12" s="1" t="s">
        <v>10</v>
      </c>
      <c r="D12" s="1">
        <v>10</v>
      </c>
      <c r="E12" s="1">
        <v>7</v>
      </c>
      <c r="F12" s="1">
        <v>3</v>
      </c>
      <c r="G12" s="1">
        <v>20</v>
      </c>
      <c r="H12" s="9" t="str">
        <f t="shared" si="0"/>
        <v>Needs improvement</v>
      </c>
      <c r="I12" s="1">
        <v>48527.83</v>
      </c>
      <c r="J12" s="1">
        <v>2023</v>
      </c>
      <c r="K12" s="1">
        <v>5.2</v>
      </c>
      <c r="L12" s="10">
        <f t="shared" si="1"/>
        <v>0.5</v>
      </c>
      <c r="M12" s="11">
        <f t="shared" si="2"/>
        <v>0.35</v>
      </c>
      <c r="N12" s="11">
        <f t="shared" si="3"/>
        <v>0.15</v>
      </c>
      <c r="O12" s="12">
        <f t="shared" si="4"/>
        <v>2426.3915000000002</v>
      </c>
      <c r="P12" s="9" t="str">
        <f t="shared" si="5"/>
        <v>Low GDP</v>
      </c>
      <c r="Q12" s="14" t="str">
        <f t="shared" si="6"/>
        <v>Low performer</v>
      </c>
      <c r="R12" s="8"/>
      <c r="S12" s="8"/>
      <c r="T12" s="8"/>
      <c r="U12" s="8"/>
      <c r="V12" s="8"/>
      <c r="W12" s="8"/>
      <c r="X12" s="8"/>
    </row>
    <row r="13" spans="1:24" hidden="1" x14ac:dyDescent="0.25">
      <c r="A13" s="13" t="s">
        <v>26</v>
      </c>
      <c r="B13" s="1" t="s">
        <v>27</v>
      </c>
      <c r="C13" s="1" t="s">
        <v>2</v>
      </c>
      <c r="D13" s="1">
        <v>9</v>
      </c>
      <c r="E13" s="1">
        <v>7</v>
      </c>
      <c r="F13" s="1">
        <v>11</v>
      </c>
      <c r="G13" s="1">
        <v>27</v>
      </c>
      <c r="H13" s="9" t="str">
        <f t="shared" si="0"/>
        <v>Needs improvement</v>
      </c>
      <c r="I13" s="1">
        <v>53371.7</v>
      </c>
      <c r="J13" s="1">
        <v>2023</v>
      </c>
      <c r="K13" s="1">
        <v>40.1</v>
      </c>
      <c r="L13" s="10">
        <f t="shared" si="1"/>
        <v>0.33333333333333331</v>
      </c>
      <c r="M13" s="11">
        <f t="shared" si="2"/>
        <v>0.25925925925925924</v>
      </c>
      <c r="N13" s="11">
        <f t="shared" si="3"/>
        <v>0.40740740740740738</v>
      </c>
      <c r="O13" s="12">
        <f t="shared" si="4"/>
        <v>1976.7296296296295</v>
      </c>
      <c r="P13" s="9" t="str">
        <f t="shared" si="5"/>
        <v>High GDP</v>
      </c>
      <c r="Q13" s="14" t="str">
        <f t="shared" si="6"/>
        <v>Low performer</v>
      </c>
      <c r="R13" s="8"/>
      <c r="S13" s="8"/>
      <c r="T13" s="8"/>
      <c r="U13" s="8"/>
      <c r="V13" s="8"/>
      <c r="W13" s="8"/>
      <c r="X13" s="8"/>
    </row>
    <row r="14" spans="1:24" x14ac:dyDescent="0.25">
      <c r="A14" s="13" t="s">
        <v>28</v>
      </c>
      <c r="B14" s="1" t="s">
        <v>29</v>
      </c>
      <c r="C14" s="1" t="s">
        <v>5</v>
      </c>
      <c r="D14" s="1">
        <v>8</v>
      </c>
      <c r="E14" s="1">
        <v>2</v>
      </c>
      <c r="F14" s="1">
        <v>3</v>
      </c>
      <c r="G14" s="1">
        <v>13</v>
      </c>
      <c r="H14" s="9" t="str">
        <f t="shared" si="0"/>
        <v>Needs improvement</v>
      </c>
      <c r="I14" s="1">
        <v>2496.11</v>
      </c>
      <c r="J14" s="1">
        <v>2023</v>
      </c>
      <c r="K14" s="1">
        <v>36.4</v>
      </c>
      <c r="L14" s="10">
        <f t="shared" si="1"/>
        <v>0.61538461538461542</v>
      </c>
      <c r="M14" s="11">
        <f t="shared" si="2"/>
        <v>0.15384615384615385</v>
      </c>
      <c r="N14" s="11">
        <f t="shared" si="3"/>
        <v>0.23076923076923078</v>
      </c>
      <c r="O14" s="12">
        <f t="shared" si="4"/>
        <v>192.00846153846155</v>
      </c>
      <c r="P14" s="9" t="str">
        <f t="shared" si="5"/>
        <v>Low GDP</v>
      </c>
      <c r="Q14" s="14" t="str">
        <f t="shared" si="6"/>
        <v>Low performer</v>
      </c>
      <c r="R14" s="8"/>
      <c r="S14" s="8"/>
      <c r="T14" s="8"/>
      <c r="U14" s="8"/>
      <c r="V14" s="8"/>
      <c r="W14" s="8"/>
      <c r="X14" s="8"/>
    </row>
    <row r="15" spans="1:24" hidden="1" x14ac:dyDescent="0.25">
      <c r="A15" s="13" t="s">
        <v>30</v>
      </c>
      <c r="B15" s="1" t="s">
        <v>31</v>
      </c>
      <c r="C15" s="1" t="s">
        <v>13</v>
      </c>
      <c r="D15" s="1">
        <v>6</v>
      </c>
      <c r="E15" s="1">
        <v>7</v>
      </c>
      <c r="F15" s="1">
        <v>6</v>
      </c>
      <c r="G15" s="1">
        <v>19</v>
      </c>
      <c r="H15" s="9" t="str">
        <f t="shared" si="0"/>
        <v>Needs improvement</v>
      </c>
      <c r="I15" s="1">
        <v>22147.21</v>
      </c>
      <c r="J15" s="1">
        <v>2023</v>
      </c>
      <c r="K15" s="1">
        <v>9.6</v>
      </c>
      <c r="L15" s="10">
        <f t="shared" si="1"/>
        <v>0.31578947368421051</v>
      </c>
      <c r="M15" s="11">
        <f t="shared" si="2"/>
        <v>0.36842105263157893</v>
      </c>
      <c r="N15" s="11">
        <f t="shared" si="3"/>
        <v>0.31578947368421051</v>
      </c>
      <c r="O15" s="12">
        <f t="shared" si="4"/>
        <v>1165.6426315789474</v>
      </c>
      <c r="P15" s="9" t="str">
        <f t="shared" si="5"/>
        <v>Low GDP</v>
      </c>
      <c r="Q15" s="14" t="str">
        <f t="shared" si="6"/>
        <v>Low performer</v>
      </c>
      <c r="R15" s="8"/>
      <c r="S15" s="8"/>
      <c r="T15" s="8"/>
      <c r="U15" s="8"/>
      <c r="V15" s="8"/>
      <c r="W15" s="8"/>
      <c r="X15" s="8"/>
    </row>
    <row r="16" spans="1:24" hidden="1" x14ac:dyDescent="0.25">
      <c r="A16" s="13" t="s">
        <v>32</v>
      </c>
      <c r="B16" s="1" t="s">
        <v>33</v>
      </c>
      <c r="C16" s="1" t="s">
        <v>13</v>
      </c>
      <c r="D16" s="1">
        <v>5</v>
      </c>
      <c r="E16" s="1">
        <v>4</v>
      </c>
      <c r="F16" s="1">
        <v>9</v>
      </c>
      <c r="G16" s="1">
        <v>18</v>
      </c>
      <c r="H16" s="9" t="str">
        <f t="shared" si="0"/>
        <v>Needs improvement</v>
      </c>
      <c r="I16" s="1">
        <v>32676.98</v>
      </c>
      <c r="J16" s="1">
        <v>2023</v>
      </c>
      <c r="K16" s="1">
        <v>48.4</v>
      </c>
      <c r="L16" s="10">
        <f t="shared" si="1"/>
        <v>0.27777777777777779</v>
      </c>
      <c r="M16" s="11">
        <f t="shared" si="2"/>
        <v>0.22222222222222221</v>
      </c>
      <c r="N16" s="11">
        <f t="shared" si="3"/>
        <v>0.5</v>
      </c>
      <c r="O16" s="12">
        <f t="shared" si="4"/>
        <v>1815.3877777777777</v>
      </c>
      <c r="P16" s="9" t="str">
        <f t="shared" si="5"/>
        <v>Low GDP</v>
      </c>
      <c r="Q16" s="14" t="str">
        <f t="shared" si="6"/>
        <v>Low performer</v>
      </c>
      <c r="R16" s="8"/>
      <c r="S16" s="8"/>
      <c r="T16" s="8"/>
      <c r="U16" s="8"/>
      <c r="V16" s="8"/>
      <c r="W16" s="8"/>
      <c r="X16" s="8"/>
    </row>
    <row r="17" spans="1:24" hidden="1" x14ac:dyDescent="0.25">
      <c r="A17" s="13" t="s">
        <v>34</v>
      </c>
      <c r="B17" s="1" t="s">
        <v>35</v>
      </c>
      <c r="C17" s="1" t="s">
        <v>13</v>
      </c>
      <c r="D17" s="1">
        <v>4</v>
      </c>
      <c r="E17" s="1">
        <v>4</v>
      </c>
      <c r="F17" s="1">
        <v>3</v>
      </c>
      <c r="G17" s="1">
        <v>11</v>
      </c>
      <c r="H17" s="9" t="str">
        <f t="shared" si="0"/>
        <v>Needs improvement</v>
      </c>
      <c r="I17" s="1">
        <v>56305.25</v>
      </c>
      <c r="J17" s="1">
        <v>2023</v>
      </c>
      <c r="K17" s="1">
        <v>10.5</v>
      </c>
      <c r="L17" s="10">
        <f t="shared" si="1"/>
        <v>0.36363636363636365</v>
      </c>
      <c r="M17" s="11">
        <f t="shared" si="2"/>
        <v>0.36363636363636365</v>
      </c>
      <c r="N17" s="11">
        <f t="shared" si="3"/>
        <v>0.27272727272727271</v>
      </c>
      <c r="O17" s="12">
        <f t="shared" si="4"/>
        <v>5118.659090909091</v>
      </c>
      <c r="P17" s="9" t="str">
        <f t="shared" si="5"/>
        <v>High GDP</v>
      </c>
      <c r="Q17" s="14" t="str">
        <f t="shared" si="6"/>
        <v>Low performer</v>
      </c>
      <c r="R17" s="8"/>
      <c r="S17" s="8"/>
      <c r="T17" s="8"/>
      <c r="U17" s="8"/>
      <c r="V17" s="8"/>
      <c r="W17" s="8"/>
      <c r="X17" s="8"/>
    </row>
    <row r="18" spans="1:24" hidden="1" x14ac:dyDescent="0.25">
      <c r="A18" s="13" t="s">
        <v>36</v>
      </c>
      <c r="B18" s="1" t="s">
        <v>37</v>
      </c>
      <c r="C18" s="1" t="s">
        <v>38</v>
      </c>
      <c r="D18" s="1">
        <v>4</v>
      </c>
      <c r="E18" s="1">
        <v>2</v>
      </c>
      <c r="F18" s="1">
        <v>5</v>
      </c>
      <c r="G18" s="1">
        <v>11</v>
      </c>
      <c r="H18" s="9" t="str">
        <f t="shared" si="0"/>
        <v>Needs improvement</v>
      </c>
      <c r="I18" s="1">
        <v>1949.9</v>
      </c>
      <c r="J18" s="1">
        <v>2023</v>
      </c>
      <c r="K18" s="1">
        <v>55.1</v>
      </c>
      <c r="L18" s="10">
        <f t="shared" si="1"/>
        <v>0.36363636363636365</v>
      </c>
      <c r="M18" s="11">
        <f t="shared" si="2"/>
        <v>0.18181818181818182</v>
      </c>
      <c r="N18" s="11">
        <f t="shared" si="3"/>
        <v>0.45454545454545453</v>
      </c>
      <c r="O18" s="12">
        <f t="shared" si="4"/>
        <v>177.26363636363638</v>
      </c>
      <c r="P18" s="9" t="str">
        <f t="shared" si="5"/>
        <v>Low GDP</v>
      </c>
      <c r="Q18" s="14" t="str">
        <f t="shared" si="6"/>
        <v>Low performer</v>
      </c>
      <c r="R18" s="8"/>
      <c r="S18" s="8"/>
      <c r="T18" s="8"/>
      <c r="U18" s="8"/>
      <c r="V18" s="8"/>
      <c r="W18" s="8"/>
      <c r="X18" s="8"/>
    </row>
    <row r="19" spans="1:24" hidden="1" x14ac:dyDescent="0.25">
      <c r="A19" s="13" t="s">
        <v>39</v>
      </c>
      <c r="B19" s="1" t="s">
        <v>40</v>
      </c>
      <c r="C19" s="1" t="s">
        <v>13</v>
      </c>
      <c r="D19" s="1">
        <v>4</v>
      </c>
      <c r="E19" s="1">
        <v>1</v>
      </c>
      <c r="F19" s="1">
        <v>3</v>
      </c>
      <c r="G19" s="1">
        <v>8</v>
      </c>
      <c r="H19" s="9" t="str">
        <f t="shared" si="0"/>
        <v>Needs improvement</v>
      </c>
      <c r="I19" s="1">
        <v>87961.78</v>
      </c>
      <c r="J19" s="1">
        <v>2023</v>
      </c>
      <c r="K19" s="1">
        <v>5.5</v>
      </c>
      <c r="L19" s="10">
        <f t="shared" si="1"/>
        <v>0.5</v>
      </c>
      <c r="M19" s="11">
        <f t="shared" si="2"/>
        <v>0.125</v>
      </c>
      <c r="N19" s="11">
        <f t="shared" si="3"/>
        <v>0.375</v>
      </c>
      <c r="O19" s="12">
        <f t="shared" si="4"/>
        <v>10995.2225</v>
      </c>
      <c r="P19" s="9" t="str">
        <f t="shared" si="5"/>
        <v>High GDP</v>
      </c>
      <c r="Q19" s="14" t="str">
        <f t="shared" si="6"/>
        <v>Low performer</v>
      </c>
      <c r="R19" s="8"/>
      <c r="S19" s="8"/>
      <c r="T19" s="8"/>
      <c r="U19" s="8"/>
      <c r="V19" s="8"/>
      <c r="W19" s="8"/>
      <c r="X19" s="8"/>
    </row>
    <row r="20" spans="1:24" hidden="1" x14ac:dyDescent="0.25">
      <c r="A20" s="13" t="s">
        <v>41</v>
      </c>
      <c r="B20" s="1" t="s">
        <v>42</v>
      </c>
      <c r="C20" s="1" t="s">
        <v>13</v>
      </c>
      <c r="D20" s="1">
        <v>4</v>
      </c>
      <c r="E20" s="1">
        <v>0</v>
      </c>
      <c r="F20" s="1">
        <v>3</v>
      </c>
      <c r="G20" s="1">
        <v>7</v>
      </c>
      <c r="H20" s="9" t="str">
        <f t="shared" si="0"/>
        <v>Needs improvement</v>
      </c>
      <c r="I20" s="1">
        <v>103684.88</v>
      </c>
      <c r="J20" s="1">
        <v>2023</v>
      </c>
      <c r="K20" s="1">
        <v>5.3</v>
      </c>
      <c r="L20" s="10">
        <f t="shared" si="1"/>
        <v>0.5714285714285714</v>
      </c>
      <c r="M20" s="11">
        <f t="shared" si="2"/>
        <v>0</v>
      </c>
      <c r="N20" s="11">
        <f t="shared" si="3"/>
        <v>0.42857142857142855</v>
      </c>
      <c r="O20" s="12">
        <f t="shared" si="4"/>
        <v>14812.125714285716</v>
      </c>
      <c r="P20" s="9" t="str">
        <f t="shared" si="5"/>
        <v>High GDP</v>
      </c>
      <c r="Q20" s="14" t="str">
        <f t="shared" si="6"/>
        <v>Low performer</v>
      </c>
      <c r="R20" s="8"/>
      <c r="S20" s="8"/>
      <c r="T20" s="8"/>
      <c r="U20" s="8"/>
      <c r="V20" s="8"/>
      <c r="W20" s="8"/>
      <c r="X20" s="8"/>
    </row>
    <row r="21" spans="1:24" hidden="1" x14ac:dyDescent="0.25">
      <c r="A21" s="13" t="s">
        <v>43</v>
      </c>
      <c r="B21" s="1" t="s">
        <v>44</v>
      </c>
      <c r="C21" s="1" t="s">
        <v>45</v>
      </c>
      <c r="D21" s="1">
        <v>3</v>
      </c>
      <c r="E21" s="1">
        <v>7</v>
      </c>
      <c r="F21" s="1">
        <v>10</v>
      </c>
      <c r="G21" s="1">
        <v>20</v>
      </c>
      <c r="H21" s="9" t="str">
        <f t="shared" si="0"/>
        <v>Needs improvement</v>
      </c>
      <c r="I21" s="1">
        <v>10043.620000000001</v>
      </c>
      <c r="J21" s="1">
        <v>2023</v>
      </c>
      <c r="K21" s="1">
        <v>216.4</v>
      </c>
      <c r="L21" s="10">
        <f t="shared" si="1"/>
        <v>0.15</v>
      </c>
      <c r="M21" s="11">
        <f t="shared" si="2"/>
        <v>0.35</v>
      </c>
      <c r="N21" s="11">
        <f t="shared" si="3"/>
        <v>0.5</v>
      </c>
      <c r="O21" s="12">
        <f t="shared" si="4"/>
        <v>502.18100000000004</v>
      </c>
      <c r="P21" s="9" t="str">
        <f t="shared" si="5"/>
        <v>Low GDP</v>
      </c>
      <c r="Q21" s="14" t="str">
        <f t="shared" si="6"/>
        <v>Low performer</v>
      </c>
      <c r="R21" s="8"/>
      <c r="S21" s="8"/>
      <c r="T21" s="8"/>
      <c r="U21" s="8"/>
      <c r="V21" s="8"/>
      <c r="W21" s="8"/>
      <c r="X21" s="8"/>
    </row>
    <row r="22" spans="1:24" x14ac:dyDescent="0.25">
      <c r="A22" s="13" t="s">
        <v>46</v>
      </c>
      <c r="B22" s="1" t="s">
        <v>47</v>
      </c>
      <c r="C22" s="1" t="s">
        <v>5</v>
      </c>
      <c r="D22" s="1">
        <v>3</v>
      </c>
      <c r="E22" s="1">
        <v>6</v>
      </c>
      <c r="F22" s="1">
        <v>3</v>
      </c>
      <c r="G22" s="1">
        <v>12</v>
      </c>
      <c r="H22" s="9" t="str">
        <f t="shared" si="0"/>
        <v>Needs improvement</v>
      </c>
      <c r="I22" s="1">
        <v>4502.55</v>
      </c>
      <c r="J22" s="1">
        <v>2023</v>
      </c>
      <c r="K22" s="1">
        <v>89.2</v>
      </c>
      <c r="L22" s="10">
        <f t="shared" si="1"/>
        <v>0.25</v>
      </c>
      <c r="M22" s="11">
        <f t="shared" si="2"/>
        <v>0.5</v>
      </c>
      <c r="N22" s="11">
        <f t="shared" si="3"/>
        <v>0.25</v>
      </c>
      <c r="O22" s="12">
        <f t="shared" si="4"/>
        <v>375.21250000000003</v>
      </c>
      <c r="P22" s="9" t="str">
        <f t="shared" si="5"/>
        <v>Low GDP</v>
      </c>
      <c r="Q22" s="14" t="str">
        <f t="shared" si="6"/>
        <v>Low performer</v>
      </c>
      <c r="R22" s="8"/>
      <c r="S22" s="8"/>
      <c r="T22" s="8"/>
      <c r="U22" s="8"/>
      <c r="V22" s="8"/>
      <c r="W22" s="8"/>
      <c r="X22" s="8"/>
    </row>
    <row r="23" spans="1:24" hidden="1" x14ac:dyDescent="0.25">
      <c r="A23" s="13" t="s">
        <v>48</v>
      </c>
      <c r="B23" s="1" t="s">
        <v>49</v>
      </c>
      <c r="C23" s="1" t="s">
        <v>13</v>
      </c>
      <c r="D23" s="1">
        <v>3</v>
      </c>
      <c r="E23" s="1">
        <v>5</v>
      </c>
      <c r="F23" s="1">
        <v>4</v>
      </c>
      <c r="G23" s="1">
        <v>12</v>
      </c>
      <c r="H23" s="9" t="str">
        <f t="shared" si="0"/>
        <v>Needs improvement</v>
      </c>
      <c r="I23" s="1">
        <v>5181.3599999999997</v>
      </c>
      <c r="J23" s="1">
        <v>2023</v>
      </c>
      <c r="K23" s="1">
        <v>37</v>
      </c>
      <c r="L23" s="10">
        <f t="shared" si="1"/>
        <v>0.25</v>
      </c>
      <c r="M23" s="11">
        <f t="shared" si="2"/>
        <v>0.41666666666666669</v>
      </c>
      <c r="N23" s="11">
        <f t="shared" si="3"/>
        <v>0.33333333333333331</v>
      </c>
      <c r="O23" s="12">
        <f t="shared" si="4"/>
        <v>431.78</v>
      </c>
      <c r="P23" s="9" t="str">
        <f t="shared" si="5"/>
        <v>Low GDP</v>
      </c>
      <c r="Q23" s="14" t="str">
        <f t="shared" si="6"/>
        <v>Low performer</v>
      </c>
      <c r="R23" s="8"/>
      <c r="S23" s="8"/>
      <c r="T23" s="8"/>
      <c r="U23" s="8"/>
      <c r="V23" s="8"/>
      <c r="W23" s="8"/>
      <c r="X23" s="8"/>
    </row>
    <row r="24" spans="1:24" hidden="1" x14ac:dyDescent="0.25">
      <c r="A24" s="13" t="s">
        <v>50</v>
      </c>
      <c r="B24" s="1" t="s">
        <v>51</v>
      </c>
      <c r="C24" s="1" t="s">
        <v>13</v>
      </c>
      <c r="D24" s="1">
        <v>3</v>
      </c>
      <c r="E24" s="1">
        <v>4</v>
      </c>
      <c r="F24" s="1">
        <v>2</v>
      </c>
      <c r="G24" s="1">
        <v>9</v>
      </c>
      <c r="H24" s="9" t="str">
        <f t="shared" si="0"/>
        <v>Needs improvement</v>
      </c>
      <c r="I24" s="1">
        <v>18419.419999999998</v>
      </c>
      <c r="J24" s="1">
        <v>2023</v>
      </c>
      <c r="K24" s="1">
        <v>19.100000000000001</v>
      </c>
      <c r="L24" s="10">
        <f t="shared" si="1"/>
        <v>0.33333333333333331</v>
      </c>
      <c r="M24" s="11">
        <f t="shared" si="2"/>
        <v>0.44444444444444442</v>
      </c>
      <c r="N24" s="11">
        <f t="shared" si="3"/>
        <v>0.22222222222222221</v>
      </c>
      <c r="O24" s="12">
        <f t="shared" si="4"/>
        <v>2046.6022222222221</v>
      </c>
      <c r="P24" s="9" t="str">
        <f t="shared" si="5"/>
        <v>Low GDP</v>
      </c>
      <c r="Q24" s="14" t="str">
        <f t="shared" si="6"/>
        <v>Low performer</v>
      </c>
      <c r="R24" s="8"/>
      <c r="S24" s="8"/>
      <c r="T24" s="8"/>
      <c r="U24" s="8"/>
      <c r="V24" s="8"/>
      <c r="W24" s="8"/>
      <c r="X24" s="8"/>
    </row>
    <row r="25" spans="1:24" hidden="1" x14ac:dyDescent="0.25">
      <c r="A25" s="13" t="s">
        <v>52</v>
      </c>
      <c r="B25" s="1" t="s">
        <v>53</v>
      </c>
      <c r="C25" s="1" t="s">
        <v>13</v>
      </c>
      <c r="D25" s="1">
        <v>3</v>
      </c>
      <c r="E25" s="1">
        <v>3</v>
      </c>
      <c r="F25" s="1">
        <v>1</v>
      </c>
      <c r="G25" s="1">
        <v>7</v>
      </c>
      <c r="H25" s="9" t="str">
        <f t="shared" si="0"/>
        <v>Needs improvement</v>
      </c>
      <c r="I25" s="1">
        <v>8120.36</v>
      </c>
      <c r="J25" s="1">
        <v>2023</v>
      </c>
      <c r="K25" s="1">
        <v>3.8</v>
      </c>
      <c r="L25" s="10">
        <f t="shared" si="1"/>
        <v>0.42857142857142855</v>
      </c>
      <c r="M25" s="11">
        <f t="shared" si="2"/>
        <v>0.42857142857142855</v>
      </c>
      <c r="N25" s="11">
        <f t="shared" si="3"/>
        <v>0.14285714285714285</v>
      </c>
      <c r="O25" s="12">
        <f t="shared" si="4"/>
        <v>1160.0514285714285</v>
      </c>
      <c r="P25" s="9" t="str">
        <f t="shared" si="5"/>
        <v>Low GDP</v>
      </c>
      <c r="Q25" s="14" t="str">
        <f t="shared" si="6"/>
        <v>Low performer</v>
      </c>
      <c r="R25" s="8"/>
      <c r="S25" s="8"/>
      <c r="T25" s="8"/>
      <c r="U25" s="8"/>
      <c r="V25" s="8"/>
      <c r="W25" s="8"/>
      <c r="X25" s="8"/>
    </row>
    <row r="26" spans="1:24" hidden="1" x14ac:dyDescent="0.25">
      <c r="A26" s="13" t="s">
        <v>54</v>
      </c>
      <c r="B26" s="1" t="s">
        <v>55</v>
      </c>
      <c r="C26" s="1" t="s">
        <v>13</v>
      </c>
      <c r="D26" s="1">
        <v>3</v>
      </c>
      <c r="E26" s="1">
        <v>1</v>
      </c>
      <c r="F26" s="1">
        <v>6</v>
      </c>
      <c r="G26" s="1">
        <v>10</v>
      </c>
      <c r="H26" s="9" t="str">
        <f t="shared" si="0"/>
        <v>Needs improvement</v>
      </c>
      <c r="I26" s="1">
        <v>53475.29</v>
      </c>
      <c r="J26" s="1">
        <v>2023</v>
      </c>
      <c r="K26" s="1">
        <v>11.8</v>
      </c>
      <c r="L26" s="10">
        <f t="shared" si="1"/>
        <v>0.3</v>
      </c>
      <c r="M26" s="11">
        <f t="shared" si="2"/>
        <v>0.1</v>
      </c>
      <c r="N26" s="11">
        <f t="shared" si="3"/>
        <v>0.6</v>
      </c>
      <c r="O26" s="12">
        <f t="shared" si="4"/>
        <v>5347.5290000000005</v>
      </c>
      <c r="P26" s="9" t="str">
        <f t="shared" si="5"/>
        <v>High GDP</v>
      </c>
      <c r="Q26" s="14" t="str">
        <f t="shared" si="6"/>
        <v>Low performer</v>
      </c>
      <c r="R26" s="8"/>
      <c r="S26" s="8"/>
      <c r="T26" s="8"/>
      <c r="U26" s="8"/>
      <c r="V26" s="8"/>
      <c r="W26" s="8"/>
      <c r="X26" s="8"/>
    </row>
    <row r="27" spans="1:24" hidden="1" x14ac:dyDescent="0.25">
      <c r="A27" s="13" t="s">
        <v>56</v>
      </c>
      <c r="B27" s="1" t="s">
        <v>57</v>
      </c>
      <c r="C27" s="1" t="s">
        <v>13</v>
      </c>
      <c r="D27" s="1">
        <v>3</v>
      </c>
      <c r="E27" s="1">
        <v>1</v>
      </c>
      <c r="F27" s="1">
        <v>3</v>
      </c>
      <c r="G27" s="1">
        <v>7</v>
      </c>
      <c r="H27" s="9" t="str">
        <f t="shared" si="0"/>
        <v>Needs improvement</v>
      </c>
      <c r="I27" s="1">
        <v>15797.6</v>
      </c>
      <c r="J27" s="1">
        <v>2023</v>
      </c>
      <c r="K27" s="1">
        <v>6.4</v>
      </c>
      <c r="L27" s="10">
        <f t="shared" si="1"/>
        <v>0.42857142857142855</v>
      </c>
      <c r="M27" s="11">
        <f t="shared" si="2"/>
        <v>0.14285714285714285</v>
      </c>
      <c r="N27" s="11">
        <f t="shared" si="3"/>
        <v>0.42857142857142855</v>
      </c>
      <c r="O27" s="12">
        <f t="shared" si="4"/>
        <v>2256.8000000000002</v>
      </c>
      <c r="P27" s="9" t="str">
        <f t="shared" si="5"/>
        <v>Low GDP</v>
      </c>
      <c r="Q27" s="14" t="str">
        <f t="shared" si="6"/>
        <v>Low performer</v>
      </c>
      <c r="R27" s="8"/>
      <c r="S27" s="8"/>
      <c r="T27" s="8"/>
      <c r="U27" s="8"/>
      <c r="V27" s="8"/>
      <c r="W27" s="8"/>
      <c r="X27" s="8"/>
    </row>
    <row r="28" spans="1:24" hidden="1" x14ac:dyDescent="0.25">
      <c r="A28" s="13" t="s">
        <v>58</v>
      </c>
      <c r="B28" s="1" t="s">
        <v>59</v>
      </c>
      <c r="C28" s="1" t="s">
        <v>13</v>
      </c>
      <c r="D28" s="1">
        <v>3</v>
      </c>
      <c r="E28" s="1">
        <v>1</v>
      </c>
      <c r="F28" s="1">
        <v>1</v>
      </c>
      <c r="G28" s="1">
        <v>5</v>
      </c>
      <c r="H28" s="9" t="str">
        <f t="shared" si="0"/>
        <v>Needs improvement</v>
      </c>
      <c r="I28" s="1">
        <v>11360.96</v>
      </c>
      <c r="J28" s="1">
        <v>2023</v>
      </c>
      <c r="K28" s="1">
        <v>6.6</v>
      </c>
      <c r="L28" s="10">
        <f t="shared" si="1"/>
        <v>0.6</v>
      </c>
      <c r="M28" s="11">
        <f t="shared" si="2"/>
        <v>0.2</v>
      </c>
      <c r="N28" s="11">
        <f t="shared" si="3"/>
        <v>0.2</v>
      </c>
      <c r="O28" s="12">
        <f t="shared" si="4"/>
        <v>2272.192</v>
      </c>
      <c r="P28" s="9" t="str">
        <f t="shared" si="5"/>
        <v>Low GDP</v>
      </c>
      <c r="Q28" s="14" t="str">
        <f t="shared" si="6"/>
        <v>Low performer</v>
      </c>
      <c r="R28" s="8"/>
      <c r="S28" s="8"/>
      <c r="T28" s="8"/>
      <c r="U28" s="8"/>
      <c r="V28" s="8"/>
      <c r="W28" s="8"/>
      <c r="X28" s="8"/>
    </row>
    <row r="29" spans="1:24" hidden="1" x14ac:dyDescent="0.25">
      <c r="A29" s="13" t="s">
        <v>60</v>
      </c>
      <c r="B29" s="1" t="s">
        <v>61</v>
      </c>
      <c r="C29" s="1" t="s">
        <v>13</v>
      </c>
      <c r="D29" s="1">
        <v>3</v>
      </c>
      <c r="E29" s="1">
        <v>0</v>
      </c>
      <c r="F29" s="1">
        <v>2</v>
      </c>
      <c r="G29" s="1">
        <v>5</v>
      </c>
      <c r="H29" s="9" t="str">
        <f t="shared" si="0"/>
        <v>Needs improvement</v>
      </c>
      <c r="I29" s="1">
        <v>30427.42</v>
      </c>
      <c r="J29" s="1">
        <v>2023</v>
      </c>
      <c r="K29" s="1">
        <v>10.9</v>
      </c>
      <c r="L29" s="10">
        <f t="shared" si="1"/>
        <v>0.6</v>
      </c>
      <c r="M29" s="11">
        <f t="shared" si="2"/>
        <v>0</v>
      </c>
      <c r="N29" s="11">
        <f t="shared" si="3"/>
        <v>0.4</v>
      </c>
      <c r="O29" s="12">
        <f t="shared" si="4"/>
        <v>6085.4839999999995</v>
      </c>
      <c r="P29" s="9" t="str">
        <f t="shared" si="5"/>
        <v>Low GDP</v>
      </c>
      <c r="Q29" s="14" t="str">
        <f t="shared" si="6"/>
        <v>Low performer</v>
      </c>
      <c r="R29" s="8"/>
      <c r="S29" s="8"/>
      <c r="T29" s="8"/>
      <c r="U29" s="8"/>
      <c r="V29" s="8"/>
      <c r="W29" s="8"/>
      <c r="X29" s="8"/>
    </row>
    <row r="30" spans="1:24" hidden="1" x14ac:dyDescent="0.25">
      <c r="A30" s="13" t="s">
        <v>62</v>
      </c>
      <c r="B30" s="1" t="s">
        <v>63</v>
      </c>
      <c r="C30" s="1" t="s">
        <v>13</v>
      </c>
      <c r="D30" s="1">
        <v>2</v>
      </c>
      <c r="E30" s="1">
        <v>2</v>
      </c>
      <c r="F30" s="1">
        <v>5</v>
      </c>
      <c r="G30" s="1">
        <v>9</v>
      </c>
      <c r="H30" s="9" t="str">
        <f t="shared" si="0"/>
        <v>Needs improvement</v>
      </c>
      <c r="I30" s="1">
        <v>67967.38</v>
      </c>
      <c r="J30" s="1">
        <v>2023</v>
      </c>
      <c r="K30" s="1">
        <v>5.9</v>
      </c>
      <c r="L30" s="10">
        <f t="shared" si="1"/>
        <v>0.22222222222222221</v>
      </c>
      <c r="M30" s="11">
        <f t="shared" si="2"/>
        <v>0.22222222222222221</v>
      </c>
      <c r="N30" s="11">
        <f t="shared" si="3"/>
        <v>0.55555555555555558</v>
      </c>
      <c r="O30" s="12">
        <f t="shared" si="4"/>
        <v>7551.9311111111119</v>
      </c>
      <c r="P30" s="9" t="str">
        <f t="shared" si="5"/>
        <v>High GDP</v>
      </c>
      <c r="Q30" s="14" t="str">
        <f t="shared" si="6"/>
        <v>Low performer</v>
      </c>
      <c r="R30" s="8"/>
      <c r="S30" s="8"/>
      <c r="T30" s="8"/>
      <c r="U30" s="8"/>
      <c r="V30" s="8"/>
      <c r="W30" s="8"/>
      <c r="X30" s="8"/>
    </row>
    <row r="31" spans="1:24" x14ac:dyDescent="0.25">
      <c r="A31" s="13" t="s">
        <v>64</v>
      </c>
      <c r="B31" s="1" t="s">
        <v>65</v>
      </c>
      <c r="C31" s="1" t="s">
        <v>5</v>
      </c>
      <c r="D31" s="1">
        <v>2</v>
      </c>
      <c r="E31" s="1">
        <v>2</v>
      </c>
      <c r="F31" s="1">
        <v>3</v>
      </c>
      <c r="G31" s="1">
        <v>7</v>
      </c>
      <c r="H31" s="9" t="str">
        <f t="shared" si="0"/>
        <v>Needs improvement</v>
      </c>
      <c r="I31" s="1">
        <v>7155.08</v>
      </c>
      <c r="J31" s="1">
        <v>2023</v>
      </c>
      <c r="K31" s="1">
        <v>10.1</v>
      </c>
      <c r="L31" s="10">
        <f t="shared" si="1"/>
        <v>0.2857142857142857</v>
      </c>
      <c r="M31" s="11">
        <f t="shared" si="2"/>
        <v>0.2857142857142857</v>
      </c>
      <c r="N31" s="11">
        <f t="shared" si="3"/>
        <v>0.42857142857142855</v>
      </c>
      <c r="O31" s="12">
        <f t="shared" si="4"/>
        <v>1022.1542857142857</v>
      </c>
      <c r="P31" s="9" t="str">
        <f t="shared" si="5"/>
        <v>Low GDP</v>
      </c>
      <c r="Q31" s="14" t="str">
        <f t="shared" si="6"/>
        <v>Low performer</v>
      </c>
      <c r="R31" s="8"/>
      <c r="S31" s="8"/>
      <c r="T31" s="8"/>
      <c r="U31" s="8"/>
      <c r="V31" s="8"/>
      <c r="W31" s="8"/>
      <c r="X31" s="8"/>
    </row>
    <row r="32" spans="1:24" hidden="1" x14ac:dyDescent="0.25">
      <c r="A32" s="13" t="s">
        <v>66</v>
      </c>
      <c r="B32" s="1" t="s">
        <v>67</v>
      </c>
      <c r="C32" s="1" t="s">
        <v>13</v>
      </c>
      <c r="D32" s="1">
        <v>2</v>
      </c>
      <c r="E32" s="1">
        <v>2</v>
      </c>
      <c r="F32" s="1">
        <v>3</v>
      </c>
      <c r="G32" s="1">
        <v>7</v>
      </c>
      <c r="H32" s="9" t="str">
        <f t="shared" si="0"/>
        <v>Needs improvement</v>
      </c>
      <c r="I32" s="1">
        <v>21459.78</v>
      </c>
      <c r="J32" s="1">
        <v>2023</v>
      </c>
      <c r="K32" s="1">
        <v>3.9</v>
      </c>
      <c r="L32" s="10">
        <f t="shared" si="1"/>
        <v>0.2857142857142857</v>
      </c>
      <c r="M32" s="11">
        <f t="shared" si="2"/>
        <v>0.2857142857142857</v>
      </c>
      <c r="N32" s="11">
        <f t="shared" si="3"/>
        <v>0.42857142857142855</v>
      </c>
      <c r="O32" s="12">
        <f t="shared" si="4"/>
        <v>3065.6828571428568</v>
      </c>
      <c r="P32" s="9" t="str">
        <f t="shared" si="5"/>
        <v>Low GDP</v>
      </c>
      <c r="Q32" s="14" t="str">
        <f t="shared" si="6"/>
        <v>Low performer</v>
      </c>
      <c r="R32" s="8"/>
      <c r="S32" s="8"/>
      <c r="T32" s="8"/>
      <c r="U32" s="8"/>
      <c r="V32" s="8"/>
      <c r="W32" s="8"/>
      <c r="X32" s="8"/>
    </row>
    <row r="33" spans="1:24" hidden="1" x14ac:dyDescent="0.25">
      <c r="A33" s="13" t="s">
        <v>68</v>
      </c>
      <c r="B33" s="1" t="s">
        <v>69</v>
      </c>
      <c r="C33" s="1" t="s">
        <v>2</v>
      </c>
      <c r="D33" s="1">
        <v>2</v>
      </c>
      <c r="E33" s="1">
        <v>1</v>
      </c>
      <c r="F33" s="1">
        <v>6</v>
      </c>
      <c r="G33" s="1">
        <v>9</v>
      </c>
      <c r="H33" s="9" t="str">
        <f t="shared" si="0"/>
        <v>Needs improvement</v>
      </c>
      <c r="I33" s="1">
        <v>56495.85</v>
      </c>
      <c r="J33" s="1">
        <v>2022</v>
      </c>
      <c r="K33" s="1">
        <v>11.2</v>
      </c>
      <c r="L33" s="10">
        <f t="shared" si="1"/>
        <v>0.22222222222222221</v>
      </c>
      <c r="M33" s="11">
        <f t="shared" si="2"/>
        <v>0.1111111111111111</v>
      </c>
      <c r="N33" s="11">
        <f t="shared" si="3"/>
        <v>0.66666666666666663</v>
      </c>
      <c r="O33" s="12">
        <f t="shared" si="4"/>
        <v>6277.3166666666666</v>
      </c>
      <c r="P33" s="9" t="str">
        <f t="shared" si="5"/>
        <v>High GDP</v>
      </c>
      <c r="Q33" s="14" t="str">
        <f t="shared" si="6"/>
        <v>Low performer</v>
      </c>
      <c r="R33" s="8"/>
      <c r="S33" s="8"/>
      <c r="T33" s="8"/>
      <c r="U33" s="8"/>
      <c r="V33" s="8"/>
      <c r="W33" s="8"/>
      <c r="X33" s="8"/>
    </row>
    <row r="34" spans="1:24" x14ac:dyDescent="0.25">
      <c r="A34" s="13" t="s">
        <v>70</v>
      </c>
      <c r="B34" s="1" t="s">
        <v>71</v>
      </c>
      <c r="C34" s="1" t="s">
        <v>5</v>
      </c>
      <c r="D34" s="1">
        <v>2</v>
      </c>
      <c r="E34" s="1">
        <v>1</v>
      </c>
      <c r="F34" s="1">
        <v>1</v>
      </c>
      <c r="G34" s="1">
        <v>4</v>
      </c>
      <c r="H34" s="9" t="str">
        <f t="shared" ref="H34:H65" si="7">IF(G34&gt;=100,"Excellent","Needs improvement")</f>
        <v>Needs improvement</v>
      </c>
      <c r="I34" s="1">
        <v>29084.31</v>
      </c>
      <c r="J34" s="1">
        <v>2023</v>
      </c>
      <c r="K34" s="1">
        <v>1.5</v>
      </c>
      <c r="L34" s="10">
        <f t="shared" ref="L34:L65" si="8">D34/G34</f>
        <v>0.5</v>
      </c>
      <c r="M34" s="11">
        <f t="shared" ref="M34:M65" si="9">E34/G34</f>
        <v>0.25</v>
      </c>
      <c r="N34" s="11">
        <f t="shared" ref="N34:N65" si="10">F34/G34</f>
        <v>0.25</v>
      </c>
      <c r="O34" s="12">
        <f t="shared" ref="O34:O65" si="11">I34/G34</f>
        <v>7271.0775000000003</v>
      </c>
      <c r="P34" s="9" t="str">
        <f t="shared" ref="P34:P65" si="12">IF(I34&gt;=50000,"High GDP","Low GDP")</f>
        <v>Low GDP</v>
      </c>
      <c r="Q34" s="14" t="str">
        <f t="shared" ref="Q34:Q65" si="13">IF(D34&gt;=20,"Top performer","Low performer")</f>
        <v>Low performer</v>
      </c>
      <c r="R34" s="8"/>
      <c r="S34" s="8"/>
      <c r="T34" s="8"/>
      <c r="U34" s="8"/>
      <c r="V34" s="8"/>
      <c r="W34" s="8"/>
      <c r="X34" s="8"/>
    </row>
    <row r="35" spans="1:24" hidden="1" x14ac:dyDescent="0.25">
      <c r="A35" s="13" t="s">
        <v>72</v>
      </c>
      <c r="B35" s="1" t="s">
        <v>73</v>
      </c>
      <c r="C35" s="1" t="s">
        <v>13</v>
      </c>
      <c r="D35" s="1">
        <v>2</v>
      </c>
      <c r="E35" s="1">
        <v>1</v>
      </c>
      <c r="F35" s="1">
        <v>0</v>
      </c>
      <c r="G35" s="1">
        <v>3</v>
      </c>
      <c r="H35" s="9" t="str">
        <f t="shared" si="7"/>
        <v>Needs improvement</v>
      </c>
      <c r="I35" s="1">
        <v>32163.51</v>
      </c>
      <c r="J35" s="1">
        <v>2023</v>
      </c>
      <c r="K35" s="1">
        <v>2.1</v>
      </c>
      <c r="L35" s="10">
        <f t="shared" si="8"/>
        <v>0.66666666666666663</v>
      </c>
      <c r="M35" s="11">
        <f t="shared" si="9"/>
        <v>0.33333333333333331</v>
      </c>
      <c r="N35" s="11">
        <f t="shared" si="10"/>
        <v>0</v>
      </c>
      <c r="O35" s="12">
        <f t="shared" si="11"/>
        <v>10721.17</v>
      </c>
      <c r="P35" s="9" t="str">
        <f t="shared" si="12"/>
        <v>Low GDP</v>
      </c>
      <c r="Q35" s="14" t="str">
        <f t="shared" si="13"/>
        <v>Low performer</v>
      </c>
      <c r="R35" s="8"/>
      <c r="S35" s="8"/>
      <c r="T35" s="8"/>
      <c r="U35" s="8"/>
      <c r="V35" s="8"/>
      <c r="W35" s="8"/>
      <c r="X35" s="8"/>
    </row>
    <row r="36" spans="1:24" x14ac:dyDescent="0.25">
      <c r="A36" s="13" t="s">
        <v>74</v>
      </c>
      <c r="B36" s="1" t="s">
        <v>75</v>
      </c>
      <c r="C36" s="1" t="s">
        <v>5</v>
      </c>
      <c r="D36" s="1">
        <v>2</v>
      </c>
      <c r="E36" s="1">
        <v>0</v>
      </c>
      <c r="F36" s="1">
        <v>5</v>
      </c>
      <c r="G36" s="1">
        <v>7</v>
      </c>
      <c r="H36" s="9" t="str">
        <f t="shared" si="7"/>
        <v>Needs improvement</v>
      </c>
      <c r="I36" s="1">
        <v>32443.71</v>
      </c>
      <c r="J36" s="1">
        <v>2023</v>
      </c>
      <c r="K36" s="1">
        <v>23.2</v>
      </c>
      <c r="L36" s="10">
        <f t="shared" si="8"/>
        <v>0.2857142857142857</v>
      </c>
      <c r="M36" s="11">
        <f t="shared" si="9"/>
        <v>0</v>
      </c>
      <c r="N36" s="11">
        <f t="shared" si="10"/>
        <v>0.7142857142857143</v>
      </c>
      <c r="O36" s="12">
        <f t="shared" si="11"/>
        <v>4634.8157142857144</v>
      </c>
      <c r="P36" s="9" t="str">
        <f t="shared" si="12"/>
        <v>Low GDP</v>
      </c>
      <c r="Q36" s="14" t="str">
        <f t="shared" si="13"/>
        <v>Low performer</v>
      </c>
      <c r="R36" s="8"/>
      <c r="S36" s="8"/>
      <c r="T36" s="8"/>
      <c r="U36" s="8"/>
      <c r="V36" s="8"/>
      <c r="W36" s="8"/>
      <c r="X36" s="8"/>
    </row>
    <row r="37" spans="1:24" hidden="1" x14ac:dyDescent="0.25">
      <c r="A37" s="13" t="s">
        <v>76</v>
      </c>
      <c r="B37" s="1" t="s">
        <v>77</v>
      </c>
      <c r="C37" s="1" t="s">
        <v>13</v>
      </c>
      <c r="D37" s="1">
        <v>2</v>
      </c>
      <c r="E37" s="1">
        <v>0</v>
      </c>
      <c r="F37" s="1">
        <v>3</v>
      </c>
      <c r="G37" s="1">
        <v>5</v>
      </c>
      <c r="H37" s="9" t="str">
        <f t="shared" si="7"/>
        <v>Needs improvement</v>
      </c>
      <c r="I37" s="1">
        <v>56505.97</v>
      </c>
      <c r="J37" s="1">
        <v>2023</v>
      </c>
      <c r="K37" s="1">
        <v>9.1</v>
      </c>
      <c r="L37" s="10">
        <f t="shared" si="8"/>
        <v>0.4</v>
      </c>
      <c r="M37" s="11">
        <f t="shared" si="9"/>
        <v>0</v>
      </c>
      <c r="N37" s="11">
        <f t="shared" si="10"/>
        <v>0.6</v>
      </c>
      <c r="O37" s="12">
        <f t="shared" si="11"/>
        <v>11301.194</v>
      </c>
      <c r="P37" s="9" t="str">
        <f t="shared" si="12"/>
        <v>High GDP</v>
      </c>
      <c r="Q37" s="14" t="str">
        <f t="shared" si="13"/>
        <v>Low performer</v>
      </c>
      <c r="R37" s="8"/>
      <c r="S37" s="8"/>
      <c r="T37" s="8"/>
      <c r="U37" s="8"/>
      <c r="V37" s="8"/>
      <c r="W37" s="8"/>
      <c r="X37" s="8"/>
    </row>
    <row r="38" spans="1:24" hidden="1" x14ac:dyDescent="0.25">
      <c r="A38" s="13" t="s">
        <v>78</v>
      </c>
      <c r="B38" s="1" t="s">
        <v>79</v>
      </c>
      <c r="C38" s="1" t="s">
        <v>5</v>
      </c>
      <c r="D38" s="1">
        <v>2</v>
      </c>
      <c r="E38" s="1">
        <v>0</v>
      </c>
      <c r="F38" s="1">
        <v>2</v>
      </c>
      <c r="G38" s="1">
        <v>4</v>
      </c>
      <c r="H38" s="9" t="str">
        <f t="shared" si="7"/>
        <v>Needs improvement</v>
      </c>
      <c r="I38" s="1">
        <v>50696.59</v>
      </c>
      <c r="J38" s="1">
        <v>2023</v>
      </c>
      <c r="K38" s="1">
        <v>7.5</v>
      </c>
      <c r="L38" s="10">
        <f t="shared" si="8"/>
        <v>0.5</v>
      </c>
      <c r="M38" s="11">
        <f t="shared" si="9"/>
        <v>0</v>
      </c>
      <c r="N38" s="11">
        <f t="shared" si="10"/>
        <v>0.5</v>
      </c>
      <c r="O38" s="12">
        <f t="shared" si="11"/>
        <v>12674.147499999999</v>
      </c>
      <c r="P38" s="9" t="str">
        <f t="shared" si="12"/>
        <v>High GDP</v>
      </c>
      <c r="Q38" s="14" t="str">
        <f t="shared" si="13"/>
        <v>Low performer</v>
      </c>
      <c r="R38" s="8"/>
      <c r="S38" s="8"/>
      <c r="T38" s="8"/>
      <c r="U38" s="8"/>
      <c r="V38" s="8"/>
      <c r="W38" s="8"/>
      <c r="X38" s="8"/>
    </row>
    <row r="39" spans="1:24" x14ac:dyDescent="0.25">
      <c r="A39" s="13" t="s">
        <v>80</v>
      </c>
      <c r="B39" s="1" t="s">
        <v>81</v>
      </c>
      <c r="C39" s="1" t="s">
        <v>5</v>
      </c>
      <c r="D39" s="1">
        <v>2</v>
      </c>
      <c r="E39" s="1">
        <v>0</v>
      </c>
      <c r="F39" s="1">
        <v>2</v>
      </c>
      <c r="G39" s="1">
        <v>4</v>
      </c>
      <c r="H39" s="9" t="str">
        <f t="shared" si="7"/>
        <v>Needs improvement</v>
      </c>
      <c r="I39" s="1">
        <v>3725.55</v>
      </c>
      <c r="J39" s="1">
        <v>2023</v>
      </c>
      <c r="K39" s="1">
        <v>117.3</v>
      </c>
      <c r="L39" s="10">
        <f t="shared" si="8"/>
        <v>0.5</v>
      </c>
      <c r="M39" s="11">
        <f t="shared" si="9"/>
        <v>0</v>
      </c>
      <c r="N39" s="11">
        <f t="shared" si="10"/>
        <v>0.5</v>
      </c>
      <c r="O39" s="12">
        <f t="shared" si="11"/>
        <v>931.38750000000005</v>
      </c>
      <c r="P39" s="9" t="str">
        <f t="shared" si="12"/>
        <v>Low GDP</v>
      </c>
      <c r="Q39" s="14" t="str">
        <f t="shared" si="13"/>
        <v>Low performer</v>
      </c>
      <c r="R39" s="8"/>
      <c r="S39" s="8"/>
      <c r="T39" s="8"/>
      <c r="U39" s="8"/>
      <c r="V39" s="8"/>
      <c r="W39" s="8"/>
      <c r="X39" s="8"/>
    </row>
    <row r="40" spans="1:24" hidden="1" x14ac:dyDescent="0.25">
      <c r="A40" s="13" t="s">
        <v>82</v>
      </c>
      <c r="B40" s="1" t="s">
        <v>83</v>
      </c>
      <c r="C40" s="1" t="s">
        <v>38</v>
      </c>
      <c r="D40" s="1">
        <v>2</v>
      </c>
      <c r="E40" s="1">
        <v>0</v>
      </c>
      <c r="F40" s="1">
        <v>1</v>
      </c>
      <c r="G40" s="1">
        <v>3</v>
      </c>
      <c r="H40" s="9" t="str">
        <f t="shared" si="7"/>
        <v>Needs improvement</v>
      </c>
      <c r="I40" s="1">
        <v>5260.21</v>
      </c>
      <c r="J40" s="1">
        <v>2023</v>
      </c>
      <c r="K40" s="1">
        <v>45.6</v>
      </c>
      <c r="L40" s="10">
        <f t="shared" si="8"/>
        <v>0.66666666666666663</v>
      </c>
      <c r="M40" s="11">
        <f t="shared" si="9"/>
        <v>0</v>
      </c>
      <c r="N40" s="11">
        <f t="shared" si="10"/>
        <v>0.33333333333333331</v>
      </c>
      <c r="O40" s="12">
        <f t="shared" si="11"/>
        <v>1753.4033333333334</v>
      </c>
      <c r="P40" s="9" t="str">
        <f t="shared" si="12"/>
        <v>Low GDP</v>
      </c>
      <c r="Q40" s="14" t="str">
        <f t="shared" si="13"/>
        <v>Low performer</v>
      </c>
      <c r="R40" s="8"/>
      <c r="S40" s="8"/>
      <c r="T40" s="8"/>
      <c r="U40" s="8"/>
      <c r="V40" s="8"/>
      <c r="W40" s="8"/>
      <c r="X40" s="8"/>
    </row>
    <row r="41" spans="1:24" x14ac:dyDescent="0.25">
      <c r="A41" s="13" t="s">
        <v>84</v>
      </c>
      <c r="B41" s="1" t="s">
        <v>85</v>
      </c>
      <c r="C41" s="1" t="s">
        <v>5</v>
      </c>
      <c r="D41" s="1">
        <v>2</v>
      </c>
      <c r="E41" s="1">
        <v>0</v>
      </c>
      <c r="F41" s="1">
        <v>1</v>
      </c>
      <c r="G41" s="1">
        <v>3</v>
      </c>
      <c r="H41" s="9" t="str">
        <f t="shared" si="7"/>
        <v>Needs improvement</v>
      </c>
      <c r="I41" s="1">
        <v>4940.55</v>
      </c>
      <c r="J41" s="1">
        <v>2023</v>
      </c>
      <c r="K41" s="1">
        <v>277.5</v>
      </c>
      <c r="L41" s="10">
        <f t="shared" si="8"/>
        <v>0.66666666666666663</v>
      </c>
      <c r="M41" s="11">
        <f t="shared" si="9"/>
        <v>0</v>
      </c>
      <c r="N41" s="11">
        <f t="shared" si="10"/>
        <v>0.33333333333333331</v>
      </c>
      <c r="O41" s="12">
        <f t="shared" si="11"/>
        <v>1646.8500000000001</v>
      </c>
      <c r="P41" s="9" t="str">
        <f t="shared" si="12"/>
        <v>Low GDP</v>
      </c>
      <c r="Q41" s="14" t="str">
        <f t="shared" si="13"/>
        <v>Low performer</v>
      </c>
      <c r="R41" s="8"/>
      <c r="S41" s="8"/>
      <c r="T41" s="8"/>
      <c r="U41" s="8"/>
      <c r="V41" s="8"/>
      <c r="W41" s="8"/>
      <c r="X41" s="8"/>
    </row>
    <row r="42" spans="1:24" hidden="1" x14ac:dyDescent="0.25">
      <c r="A42" s="13" t="s">
        <v>86</v>
      </c>
      <c r="B42" s="1" t="s">
        <v>87</v>
      </c>
      <c r="C42" s="1" t="s">
        <v>5</v>
      </c>
      <c r="D42" s="1">
        <v>1</v>
      </c>
      <c r="E42" s="1">
        <v>5</v>
      </c>
      <c r="F42" s="1">
        <v>1</v>
      </c>
      <c r="G42" s="1">
        <v>7</v>
      </c>
      <c r="H42" s="9" t="str">
        <f t="shared" si="7"/>
        <v>Needs improvement</v>
      </c>
      <c r="I42" s="1">
        <v>52261.68</v>
      </c>
      <c r="J42" s="1">
        <v>2023</v>
      </c>
      <c r="K42" s="1">
        <v>9.8000000000000007</v>
      </c>
      <c r="L42" s="10">
        <f t="shared" si="8"/>
        <v>0.14285714285714285</v>
      </c>
      <c r="M42" s="11">
        <f t="shared" si="9"/>
        <v>0.7142857142857143</v>
      </c>
      <c r="N42" s="11">
        <f t="shared" si="10"/>
        <v>0.14285714285714285</v>
      </c>
      <c r="O42" s="12">
        <f t="shared" si="11"/>
        <v>7465.954285714286</v>
      </c>
      <c r="P42" s="9" t="str">
        <f t="shared" si="12"/>
        <v>High GDP</v>
      </c>
      <c r="Q42" s="14" t="str">
        <f t="shared" si="13"/>
        <v>Low performer</v>
      </c>
      <c r="R42" s="8"/>
      <c r="S42" s="8"/>
      <c r="T42" s="8"/>
      <c r="U42" s="8"/>
      <c r="V42" s="8"/>
      <c r="W42" s="8"/>
      <c r="X42" s="8"/>
    </row>
    <row r="43" spans="1:24" hidden="1" x14ac:dyDescent="0.25">
      <c r="A43" s="13" t="s">
        <v>88</v>
      </c>
      <c r="B43" s="1" t="s">
        <v>89</v>
      </c>
      <c r="C43" s="1" t="s">
        <v>13</v>
      </c>
      <c r="D43" s="1">
        <v>1</v>
      </c>
      <c r="E43" s="1">
        <v>4</v>
      </c>
      <c r="F43" s="1">
        <v>5</v>
      </c>
      <c r="G43" s="1">
        <v>10</v>
      </c>
      <c r="H43" s="9" t="str">
        <f t="shared" si="7"/>
        <v>Needs improvement</v>
      </c>
      <c r="I43" s="1">
        <v>22112.86</v>
      </c>
      <c r="J43" s="1">
        <v>2023</v>
      </c>
      <c r="K43" s="1">
        <v>36.700000000000003</v>
      </c>
      <c r="L43" s="10">
        <f t="shared" si="8"/>
        <v>0.1</v>
      </c>
      <c r="M43" s="11">
        <f t="shared" si="9"/>
        <v>0.4</v>
      </c>
      <c r="N43" s="11">
        <f t="shared" si="10"/>
        <v>0.5</v>
      </c>
      <c r="O43" s="12">
        <f t="shared" si="11"/>
        <v>2211.2860000000001</v>
      </c>
      <c r="P43" s="9" t="str">
        <f t="shared" si="12"/>
        <v>Low GDP</v>
      </c>
      <c r="Q43" s="14" t="str">
        <f t="shared" si="13"/>
        <v>Low performer</v>
      </c>
      <c r="R43" s="8"/>
      <c r="S43" s="8"/>
      <c r="T43" s="8"/>
      <c r="U43" s="8"/>
      <c r="V43" s="8"/>
      <c r="W43" s="8"/>
      <c r="X43" s="8"/>
    </row>
    <row r="44" spans="1:24" x14ac:dyDescent="0.25">
      <c r="A44" s="13" t="s">
        <v>90</v>
      </c>
      <c r="B44" s="1" t="s">
        <v>91</v>
      </c>
      <c r="C44" s="1" t="s">
        <v>5</v>
      </c>
      <c r="D44" s="1">
        <v>1</v>
      </c>
      <c r="E44" s="1">
        <v>3</v>
      </c>
      <c r="F44" s="1">
        <v>3</v>
      </c>
      <c r="G44" s="1">
        <v>7</v>
      </c>
      <c r="H44" s="9" t="str">
        <f t="shared" si="7"/>
        <v>Needs improvement</v>
      </c>
      <c r="I44" s="1">
        <v>13136.62</v>
      </c>
      <c r="J44" s="1">
        <v>2023</v>
      </c>
      <c r="K44" s="1">
        <v>19.899999999999999</v>
      </c>
      <c r="L44" s="10">
        <f t="shared" si="8"/>
        <v>0.14285714285714285</v>
      </c>
      <c r="M44" s="11">
        <f t="shared" si="9"/>
        <v>0.42857142857142855</v>
      </c>
      <c r="N44" s="11">
        <f t="shared" si="10"/>
        <v>0.42857142857142855</v>
      </c>
      <c r="O44" s="12">
        <f t="shared" si="11"/>
        <v>1876.66</v>
      </c>
      <c r="P44" s="9" t="str">
        <f t="shared" si="12"/>
        <v>Low GDP</v>
      </c>
      <c r="Q44" s="14" t="str">
        <f t="shared" si="13"/>
        <v>Low performer</v>
      </c>
      <c r="R44" s="8"/>
      <c r="S44" s="8"/>
      <c r="T44" s="8"/>
      <c r="U44" s="8"/>
      <c r="V44" s="8"/>
      <c r="W44" s="8"/>
      <c r="X44" s="8"/>
    </row>
    <row r="45" spans="1:24" hidden="1" x14ac:dyDescent="0.25">
      <c r="A45" s="13" t="s">
        <v>92</v>
      </c>
      <c r="B45" s="1" t="s">
        <v>93</v>
      </c>
      <c r="C45" s="1" t="s">
        <v>2</v>
      </c>
      <c r="D45" s="1">
        <v>1</v>
      </c>
      <c r="E45" s="1">
        <v>3</v>
      </c>
      <c r="F45" s="1">
        <v>2</v>
      </c>
      <c r="G45" s="1">
        <v>6</v>
      </c>
      <c r="H45" s="9" t="str">
        <f t="shared" si="7"/>
        <v>Needs improvement</v>
      </c>
      <c r="I45" s="1">
        <v>6874.2</v>
      </c>
      <c r="J45" s="1">
        <v>2023</v>
      </c>
      <c r="K45" s="1">
        <v>2.8</v>
      </c>
      <c r="L45" s="10">
        <f t="shared" si="8"/>
        <v>0.16666666666666666</v>
      </c>
      <c r="M45" s="11">
        <f t="shared" si="9"/>
        <v>0.5</v>
      </c>
      <c r="N45" s="11">
        <f t="shared" si="10"/>
        <v>0.33333333333333331</v>
      </c>
      <c r="O45" s="12">
        <f t="shared" si="11"/>
        <v>1145.7</v>
      </c>
      <c r="P45" s="9" t="str">
        <f t="shared" si="12"/>
        <v>Low GDP</v>
      </c>
      <c r="Q45" s="14" t="str">
        <f t="shared" si="13"/>
        <v>Low performer</v>
      </c>
      <c r="R45" s="8"/>
      <c r="S45" s="8"/>
      <c r="T45" s="8"/>
      <c r="U45" s="8"/>
      <c r="V45" s="8"/>
      <c r="W45" s="8"/>
      <c r="X45" s="8"/>
    </row>
    <row r="46" spans="1:24" hidden="1" x14ac:dyDescent="0.25">
      <c r="A46" s="13" t="s">
        <v>94</v>
      </c>
      <c r="B46" s="1" t="s">
        <v>95</v>
      </c>
      <c r="C46" s="1" t="s">
        <v>38</v>
      </c>
      <c r="D46" s="1">
        <v>1</v>
      </c>
      <c r="E46" s="1">
        <v>3</v>
      </c>
      <c r="F46" s="1">
        <v>2</v>
      </c>
      <c r="G46" s="1">
        <v>6</v>
      </c>
      <c r="H46" s="9" t="str">
        <f t="shared" si="7"/>
        <v>Needs improvement</v>
      </c>
      <c r="I46" s="1">
        <v>6253.16</v>
      </c>
      <c r="J46" s="1">
        <v>2023</v>
      </c>
      <c r="K46" s="1">
        <v>60.4</v>
      </c>
      <c r="L46" s="10">
        <f t="shared" si="8"/>
        <v>0.16666666666666666</v>
      </c>
      <c r="M46" s="11">
        <f t="shared" si="9"/>
        <v>0.5</v>
      </c>
      <c r="N46" s="11">
        <f t="shared" si="10"/>
        <v>0.33333333333333331</v>
      </c>
      <c r="O46" s="12">
        <f t="shared" si="11"/>
        <v>1042.1933333333334</v>
      </c>
      <c r="P46" s="9" t="str">
        <f t="shared" si="12"/>
        <v>Low GDP</v>
      </c>
      <c r="Q46" s="14" t="str">
        <f t="shared" si="13"/>
        <v>Low performer</v>
      </c>
      <c r="R46" s="8"/>
      <c r="S46" s="8"/>
      <c r="T46" s="8"/>
      <c r="U46" s="8"/>
      <c r="V46" s="8"/>
      <c r="W46" s="8"/>
      <c r="X46" s="8"/>
    </row>
    <row r="47" spans="1:24" x14ac:dyDescent="0.25">
      <c r="A47" s="13" t="s">
        <v>96</v>
      </c>
      <c r="B47" s="1" t="s">
        <v>97</v>
      </c>
      <c r="C47" s="1" t="s">
        <v>5</v>
      </c>
      <c r="D47" s="1">
        <v>1</v>
      </c>
      <c r="E47" s="1">
        <v>3</v>
      </c>
      <c r="F47" s="1">
        <v>2</v>
      </c>
      <c r="G47" s="1">
        <v>6</v>
      </c>
      <c r="H47" s="9" t="str">
        <f t="shared" si="7"/>
        <v>Needs improvement</v>
      </c>
      <c r="I47" s="1">
        <v>7171.81</v>
      </c>
      <c r="J47" s="1">
        <v>2023</v>
      </c>
      <c r="K47" s="1">
        <v>71.8</v>
      </c>
      <c r="L47" s="10">
        <f t="shared" si="8"/>
        <v>0.16666666666666666</v>
      </c>
      <c r="M47" s="11">
        <f t="shared" si="9"/>
        <v>0.5</v>
      </c>
      <c r="N47" s="11">
        <f t="shared" si="10"/>
        <v>0.33333333333333331</v>
      </c>
      <c r="O47" s="12">
        <f t="shared" si="11"/>
        <v>1195.3016666666667</v>
      </c>
      <c r="P47" s="9" t="str">
        <f t="shared" si="12"/>
        <v>Low GDP</v>
      </c>
      <c r="Q47" s="14" t="str">
        <f t="shared" si="13"/>
        <v>Low performer</v>
      </c>
      <c r="R47" s="8"/>
      <c r="S47" s="8"/>
      <c r="T47" s="8"/>
      <c r="U47" s="8"/>
      <c r="V47" s="8"/>
      <c r="W47" s="8"/>
      <c r="X47" s="8"/>
    </row>
    <row r="48" spans="1:24" hidden="1" x14ac:dyDescent="0.25">
      <c r="A48" s="13" t="s">
        <v>98</v>
      </c>
      <c r="B48" s="1" t="s">
        <v>99</v>
      </c>
      <c r="C48" s="1" t="s">
        <v>38</v>
      </c>
      <c r="D48" s="1">
        <v>1</v>
      </c>
      <c r="E48" s="1">
        <v>3</v>
      </c>
      <c r="F48" s="1">
        <v>0</v>
      </c>
      <c r="G48" s="1">
        <v>4</v>
      </c>
      <c r="H48" s="9" t="str">
        <f t="shared" si="7"/>
        <v>Needs improvement</v>
      </c>
      <c r="I48" s="1">
        <v>1293.78</v>
      </c>
      <c r="J48" s="1">
        <v>2023</v>
      </c>
      <c r="K48" s="1">
        <v>126.5</v>
      </c>
      <c r="L48" s="10">
        <f t="shared" si="8"/>
        <v>0.25</v>
      </c>
      <c r="M48" s="11">
        <f t="shared" si="9"/>
        <v>0.75</v>
      </c>
      <c r="N48" s="11">
        <f t="shared" si="10"/>
        <v>0</v>
      </c>
      <c r="O48" s="12">
        <f t="shared" si="11"/>
        <v>323.44499999999999</v>
      </c>
      <c r="P48" s="9" t="str">
        <f t="shared" si="12"/>
        <v>Low GDP</v>
      </c>
      <c r="Q48" s="14" t="str">
        <f t="shared" si="13"/>
        <v>Low performer</v>
      </c>
      <c r="R48" s="8"/>
      <c r="S48" s="8"/>
      <c r="T48" s="8"/>
      <c r="U48" s="8"/>
      <c r="V48" s="8"/>
      <c r="W48" s="8"/>
      <c r="X48" s="8"/>
    </row>
    <row r="49" spans="1:24" hidden="1" x14ac:dyDescent="0.25">
      <c r="A49" s="13" t="s">
        <v>100</v>
      </c>
      <c r="B49" s="1" t="s">
        <v>101</v>
      </c>
      <c r="C49" s="1" t="s">
        <v>13</v>
      </c>
      <c r="D49" s="1">
        <v>1</v>
      </c>
      <c r="E49" s="1">
        <v>2</v>
      </c>
      <c r="F49" s="1">
        <v>5</v>
      </c>
      <c r="G49" s="1">
        <v>8</v>
      </c>
      <c r="H49" s="9" t="str">
        <f t="shared" si="7"/>
        <v>Needs improvement</v>
      </c>
      <c r="I49" s="1">
        <v>99994.94</v>
      </c>
      <c r="J49" s="1">
        <v>2023</v>
      </c>
      <c r="K49" s="1">
        <v>8.8000000000000007</v>
      </c>
      <c r="L49" s="10">
        <f t="shared" si="8"/>
        <v>0.125</v>
      </c>
      <c r="M49" s="11">
        <f t="shared" si="9"/>
        <v>0.25</v>
      </c>
      <c r="N49" s="11">
        <f t="shared" si="10"/>
        <v>0.625</v>
      </c>
      <c r="O49" s="12">
        <f t="shared" si="11"/>
        <v>12499.3675</v>
      </c>
      <c r="P49" s="9" t="str">
        <f t="shared" si="12"/>
        <v>High GDP</v>
      </c>
      <c r="Q49" s="14" t="str">
        <f t="shared" si="13"/>
        <v>Low performer</v>
      </c>
      <c r="R49" s="8"/>
      <c r="S49" s="8"/>
      <c r="T49" s="8"/>
      <c r="U49" s="8"/>
      <c r="V49" s="8"/>
      <c r="W49" s="8"/>
      <c r="X49" s="8"/>
    </row>
    <row r="50" spans="1:24" hidden="1" x14ac:dyDescent="0.25">
      <c r="A50" s="13" t="s">
        <v>102</v>
      </c>
      <c r="B50" s="1" t="s">
        <v>103</v>
      </c>
      <c r="C50" s="1" t="s">
        <v>45</v>
      </c>
      <c r="D50" s="1">
        <v>1</v>
      </c>
      <c r="E50" s="1">
        <v>2</v>
      </c>
      <c r="F50" s="1">
        <v>2</v>
      </c>
      <c r="G50" s="1">
        <v>5</v>
      </c>
      <c r="H50" s="9" t="str">
        <f t="shared" si="7"/>
        <v>Needs improvement</v>
      </c>
      <c r="I50" s="1">
        <v>6533.35</v>
      </c>
      <c r="J50" s="1">
        <v>2023</v>
      </c>
      <c r="K50" s="1">
        <v>18.2</v>
      </c>
      <c r="L50" s="10">
        <f t="shared" si="8"/>
        <v>0.2</v>
      </c>
      <c r="M50" s="11">
        <f t="shared" si="9"/>
        <v>0.4</v>
      </c>
      <c r="N50" s="11">
        <f t="shared" si="10"/>
        <v>0.4</v>
      </c>
      <c r="O50" s="12">
        <f t="shared" si="11"/>
        <v>1306.67</v>
      </c>
      <c r="P50" s="9" t="str">
        <f t="shared" si="12"/>
        <v>Low GDP</v>
      </c>
      <c r="Q50" s="14" t="str">
        <f t="shared" si="13"/>
        <v>Low performer</v>
      </c>
      <c r="R50" s="8"/>
      <c r="S50" s="8"/>
      <c r="T50" s="8"/>
      <c r="U50" s="8"/>
      <c r="V50" s="8"/>
      <c r="W50" s="8"/>
      <c r="X50" s="8"/>
    </row>
    <row r="51" spans="1:24" hidden="1" x14ac:dyDescent="0.25">
      <c r="A51" s="13" t="s">
        <v>104</v>
      </c>
      <c r="B51" s="1" t="s">
        <v>105</v>
      </c>
      <c r="C51" s="1" t="s">
        <v>13</v>
      </c>
      <c r="D51" s="1">
        <v>1</v>
      </c>
      <c r="E51" s="1">
        <v>2</v>
      </c>
      <c r="F51" s="1">
        <v>1</v>
      </c>
      <c r="G51" s="1">
        <v>4</v>
      </c>
      <c r="H51" s="9" t="str">
        <f t="shared" si="7"/>
        <v>Needs improvement</v>
      </c>
      <c r="I51" s="1">
        <v>27275.11</v>
      </c>
      <c r="J51" s="1">
        <v>2023</v>
      </c>
      <c r="K51" s="1">
        <v>10.5</v>
      </c>
      <c r="L51" s="10">
        <f t="shared" si="8"/>
        <v>0.25</v>
      </c>
      <c r="M51" s="11">
        <f t="shared" si="9"/>
        <v>0.5</v>
      </c>
      <c r="N51" s="11">
        <f t="shared" si="10"/>
        <v>0.25</v>
      </c>
      <c r="O51" s="12">
        <f t="shared" si="11"/>
        <v>6818.7775000000001</v>
      </c>
      <c r="P51" s="9" t="str">
        <f t="shared" si="12"/>
        <v>Low GDP</v>
      </c>
      <c r="Q51" s="14" t="str">
        <f t="shared" si="13"/>
        <v>Low performer</v>
      </c>
      <c r="R51" s="8"/>
      <c r="S51" s="8"/>
      <c r="T51" s="8"/>
      <c r="U51" s="8"/>
      <c r="V51" s="8"/>
      <c r="W51" s="8"/>
      <c r="X51" s="8"/>
    </row>
    <row r="52" spans="1:24" hidden="1" x14ac:dyDescent="0.25">
      <c r="A52" s="13" t="s">
        <v>106</v>
      </c>
      <c r="B52" s="1" t="s">
        <v>107</v>
      </c>
      <c r="C52" s="1" t="s">
        <v>13</v>
      </c>
      <c r="D52" s="1">
        <v>1</v>
      </c>
      <c r="E52" s="1">
        <v>1</v>
      </c>
      <c r="F52" s="1">
        <v>6</v>
      </c>
      <c r="G52" s="1">
        <v>8</v>
      </c>
      <c r="H52" s="9" t="str">
        <f t="shared" si="7"/>
        <v>Needs improvement</v>
      </c>
      <c r="I52" s="1">
        <v>22990.01</v>
      </c>
      <c r="J52" s="1">
        <v>2023</v>
      </c>
      <c r="K52" s="1">
        <v>10.4</v>
      </c>
      <c r="L52" s="10">
        <f t="shared" si="8"/>
        <v>0.125</v>
      </c>
      <c r="M52" s="11">
        <f t="shared" si="9"/>
        <v>0.125</v>
      </c>
      <c r="N52" s="11">
        <f t="shared" si="10"/>
        <v>0.75</v>
      </c>
      <c r="O52" s="12">
        <f t="shared" si="11"/>
        <v>2873.7512499999998</v>
      </c>
      <c r="P52" s="9" t="str">
        <f t="shared" si="12"/>
        <v>Low GDP</v>
      </c>
      <c r="Q52" s="14" t="str">
        <f t="shared" si="13"/>
        <v>Low performer</v>
      </c>
      <c r="R52" s="8"/>
      <c r="S52" s="8"/>
      <c r="T52" s="8"/>
      <c r="U52" s="8"/>
      <c r="V52" s="8"/>
      <c r="W52" s="8"/>
      <c r="X52" s="8"/>
    </row>
    <row r="53" spans="1:24" hidden="1" x14ac:dyDescent="0.25">
      <c r="A53" s="13" t="s">
        <v>108</v>
      </c>
      <c r="B53" s="1" t="s">
        <v>109</v>
      </c>
      <c r="C53" s="1" t="s">
        <v>45</v>
      </c>
      <c r="D53" s="1">
        <v>1</v>
      </c>
      <c r="E53" s="1">
        <v>1</v>
      </c>
      <c r="F53" s="1">
        <v>1</v>
      </c>
      <c r="G53" s="1">
        <v>3</v>
      </c>
      <c r="H53" s="9" t="str">
        <f t="shared" si="7"/>
        <v>Needs improvement</v>
      </c>
      <c r="I53" s="1">
        <v>13730.51</v>
      </c>
      <c r="J53" s="1">
        <v>2023</v>
      </c>
      <c r="K53" s="1">
        <v>46.7</v>
      </c>
      <c r="L53" s="10">
        <f t="shared" si="8"/>
        <v>0.33333333333333331</v>
      </c>
      <c r="M53" s="11">
        <f t="shared" si="9"/>
        <v>0.33333333333333331</v>
      </c>
      <c r="N53" s="11">
        <f t="shared" si="10"/>
        <v>0.33333333333333331</v>
      </c>
      <c r="O53" s="12">
        <f t="shared" si="11"/>
        <v>4576.836666666667</v>
      </c>
      <c r="P53" s="9" t="str">
        <f t="shared" si="12"/>
        <v>Low GDP</v>
      </c>
      <c r="Q53" s="14" t="str">
        <f t="shared" si="13"/>
        <v>Low performer</v>
      </c>
      <c r="R53" s="8"/>
      <c r="S53" s="8"/>
      <c r="T53" s="8"/>
      <c r="U53" s="8"/>
      <c r="V53" s="8"/>
      <c r="W53" s="8"/>
      <c r="X53" s="8"/>
    </row>
    <row r="54" spans="1:24" hidden="1" x14ac:dyDescent="0.25">
      <c r="A54" s="13" t="s">
        <v>110</v>
      </c>
      <c r="B54" s="1" t="s">
        <v>111</v>
      </c>
      <c r="C54" s="1" t="s">
        <v>38</v>
      </c>
      <c r="D54" s="1">
        <v>1</v>
      </c>
      <c r="E54" s="1">
        <v>1</v>
      </c>
      <c r="F54" s="1">
        <v>1</v>
      </c>
      <c r="G54" s="1">
        <v>3</v>
      </c>
      <c r="H54" s="9" t="str">
        <f t="shared" si="7"/>
        <v>Needs improvement</v>
      </c>
      <c r="I54" s="1">
        <v>3512.58</v>
      </c>
      <c r="J54" s="1">
        <v>2023</v>
      </c>
      <c r="K54" s="1">
        <v>112.7</v>
      </c>
      <c r="L54" s="10">
        <f t="shared" si="8"/>
        <v>0.33333333333333331</v>
      </c>
      <c r="M54" s="11">
        <f t="shared" si="9"/>
        <v>0.33333333333333331</v>
      </c>
      <c r="N54" s="11">
        <f t="shared" si="10"/>
        <v>0.33333333333333331</v>
      </c>
      <c r="O54" s="12">
        <f t="shared" si="11"/>
        <v>1170.8599999999999</v>
      </c>
      <c r="P54" s="9" t="str">
        <f t="shared" si="12"/>
        <v>Low GDP</v>
      </c>
      <c r="Q54" s="14" t="str">
        <f t="shared" si="13"/>
        <v>Low performer</v>
      </c>
      <c r="R54" s="8"/>
      <c r="S54" s="8"/>
      <c r="T54" s="8"/>
      <c r="U54" s="8"/>
      <c r="V54" s="8"/>
      <c r="W54" s="8"/>
      <c r="X54" s="8"/>
    </row>
    <row r="55" spans="1:24" hidden="1" x14ac:dyDescent="0.25">
      <c r="A55" s="13" t="s">
        <v>112</v>
      </c>
      <c r="B55" s="1" t="s">
        <v>113</v>
      </c>
      <c r="C55" s="1" t="s">
        <v>38</v>
      </c>
      <c r="D55" s="1">
        <v>1</v>
      </c>
      <c r="E55" s="1">
        <v>1</v>
      </c>
      <c r="F55" s="1">
        <v>1</v>
      </c>
      <c r="G55" s="1">
        <v>3</v>
      </c>
      <c r="H55" s="9" t="str">
        <f t="shared" si="7"/>
        <v>Needs improvement</v>
      </c>
      <c r="I55" s="1">
        <v>3895.39</v>
      </c>
      <c r="J55" s="1">
        <v>2023</v>
      </c>
      <c r="K55" s="1">
        <v>12.5</v>
      </c>
      <c r="L55" s="10">
        <f t="shared" si="8"/>
        <v>0.33333333333333331</v>
      </c>
      <c r="M55" s="11">
        <f t="shared" si="9"/>
        <v>0.33333333333333331</v>
      </c>
      <c r="N55" s="11">
        <f t="shared" si="10"/>
        <v>0.33333333333333331</v>
      </c>
      <c r="O55" s="12">
        <f t="shared" si="11"/>
        <v>1298.4633333333334</v>
      </c>
      <c r="P55" s="9" t="str">
        <f t="shared" si="12"/>
        <v>Low GDP</v>
      </c>
      <c r="Q55" s="14" t="str">
        <f t="shared" si="13"/>
        <v>Low performer</v>
      </c>
      <c r="R55" s="8"/>
      <c r="S55" s="8"/>
      <c r="T55" s="8"/>
      <c r="U55" s="8"/>
      <c r="V55" s="8"/>
      <c r="W55" s="8"/>
      <c r="X55" s="8"/>
    </row>
    <row r="56" spans="1:24" hidden="1" x14ac:dyDescent="0.25">
      <c r="A56" s="13" t="s">
        <v>114</v>
      </c>
      <c r="B56" s="1" t="s">
        <v>115</v>
      </c>
      <c r="C56" s="1" t="s">
        <v>38</v>
      </c>
      <c r="D56" s="1">
        <v>1</v>
      </c>
      <c r="E56" s="1">
        <v>1</v>
      </c>
      <c r="F56" s="1">
        <v>0</v>
      </c>
      <c r="G56" s="1">
        <v>2</v>
      </c>
      <c r="H56" s="9" t="str">
        <f t="shared" si="7"/>
        <v>Needs improvement</v>
      </c>
      <c r="I56" s="1">
        <v>7249.8</v>
      </c>
      <c r="J56" s="1">
        <v>2023</v>
      </c>
      <c r="K56" s="1">
        <v>2.7</v>
      </c>
      <c r="L56" s="10">
        <f t="shared" si="8"/>
        <v>0.5</v>
      </c>
      <c r="M56" s="11">
        <f t="shared" si="9"/>
        <v>0.5</v>
      </c>
      <c r="N56" s="11">
        <f t="shared" si="10"/>
        <v>0</v>
      </c>
      <c r="O56" s="12">
        <f t="shared" si="11"/>
        <v>3624.9</v>
      </c>
      <c r="P56" s="9" t="str">
        <f t="shared" si="12"/>
        <v>Low GDP</v>
      </c>
      <c r="Q56" s="14" t="str">
        <f t="shared" si="13"/>
        <v>Low performer</v>
      </c>
      <c r="R56" s="8"/>
      <c r="S56" s="8"/>
      <c r="T56" s="8"/>
      <c r="U56" s="8"/>
      <c r="V56" s="8"/>
      <c r="W56" s="8"/>
      <c r="X56" s="8"/>
    </row>
    <row r="57" spans="1:24" hidden="1" x14ac:dyDescent="0.25">
      <c r="A57" s="13" t="s">
        <v>116</v>
      </c>
      <c r="B57" s="1" t="s">
        <v>117</v>
      </c>
      <c r="C57" s="1" t="s">
        <v>45</v>
      </c>
      <c r="D57" s="1">
        <v>1</v>
      </c>
      <c r="E57" s="1">
        <v>1</v>
      </c>
      <c r="F57" s="1">
        <v>0</v>
      </c>
      <c r="G57" s="1">
        <v>2</v>
      </c>
      <c r="H57" s="9" t="str">
        <f t="shared" si="7"/>
        <v>Needs improvement</v>
      </c>
      <c r="I57" s="1">
        <v>17093.240000000002</v>
      </c>
      <c r="J57" s="1">
        <v>2023</v>
      </c>
      <c r="K57" s="1">
        <v>19.600000000000001</v>
      </c>
      <c r="L57" s="10">
        <f t="shared" si="8"/>
        <v>0.5</v>
      </c>
      <c r="M57" s="11">
        <f t="shared" si="9"/>
        <v>0.5</v>
      </c>
      <c r="N57" s="11">
        <f t="shared" si="10"/>
        <v>0</v>
      </c>
      <c r="O57" s="12">
        <f t="shared" si="11"/>
        <v>8546.6200000000008</v>
      </c>
      <c r="P57" s="9" t="str">
        <f t="shared" si="12"/>
        <v>Low GDP</v>
      </c>
      <c r="Q57" s="14" t="str">
        <f t="shared" si="13"/>
        <v>Low performer</v>
      </c>
      <c r="R57" s="8"/>
      <c r="S57" s="8"/>
      <c r="T57" s="8"/>
      <c r="U57" s="8"/>
      <c r="V57" s="8"/>
      <c r="W57" s="8"/>
      <c r="X57" s="8"/>
    </row>
    <row r="58" spans="1:24" hidden="1" x14ac:dyDescent="0.25">
      <c r="A58" s="13" t="s">
        <v>118</v>
      </c>
      <c r="B58" s="1" t="s">
        <v>119</v>
      </c>
      <c r="C58" s="1" t="s">
        <v>120</v>
      </c>
      <c r="D58" s="1">
        <v>1</v>
      </c>
      <c r="E58" s="1">
        <v>1</v>
      </c>
      <c r="F58" s="1">
        <v>0</v>
      </c>
      <c r="G58" s="1">
        <v>2</v>
      </c>
      <c r="H58" s="9" t="str">
        <f t="shared" si="7"/>
        <v>Needs improvement</v>
      </c>
      <c r="I58" s="1">
        <v>13980.09</v>
      </c>
      <c r="J58" s="1">
        <v>2023</v>
      </c>
      <c r="K58" s="1">
        <v>0.2</v>
      </c>
      <c r="L58" s="10">
        <f t="shared" si="8"/>
        <v>0.5</v>
      </c>
      <c r="M58" s="11">
        <f t="shared" si="9"/>
        <v>0.5</v>
      </c>
      <c r="N58" s="11">
        <f t="shared" si="10"/>
        <v>0</v>
      </c>
      <c r="O58" s="12">
        <f t="shared" si="11"/>
        <v>6990.0450000000001</v>
      </c>
      <c r="P58" s="9" t="str">
        <f t="shared" si="12"/>
        <v>Low GDP</v>
      </c>
      <c r="Q58" s="14" t="str">
        <f t="shared" si="13"/>
        <v>Low performer</v>
      </c>
      <c r="R58" s="8"/>
      <c r="S58" s="8"/>
      <c r="T58" s="8"/>
      <c r="U58" s="8"/>
      <c r="V58" s="8"/>
      <c r="W58" s="8"/>
      <c r="X58" s="8"/>
    </row>
    <row r="59" spans="1:24" hidden="1" x14ac:dyDescent="0.25">
      <c r="A59" s="13" t="s">
        <v>121</v>
      </c>
      <c r="B59" s="1" t="s">
        <v>122</v>
      </c>
      <c r="C59" s="1" t="s">
        <v>38</v>
      </c>
      <c r="D59" s="1">
        <v>1</v>
      </c>
      <c r="E59" s="1">
        <v>1</v>
      </c>
      <c r="F59" s="1">
        <v>0</v>
      </c>
      <c r="G59" s="1">
        <v>2</v>
      </c>
      <c r="H59" s="9" t="str">
        <f t="shared" si="7"/>
        <v>Needs improvement</v>
      </c>
      <c r="I59" s="1">
        <v>1014.21</v>
      </c>
      <c r="J59" s="1">
        <v>2023</v>
      </c>
      <c r="K59" s="1">
        <v>48.6</v>
      </c>
      <c r="L59" s="10">
        <f t="shared" si="8"/>
        <v>0.5</v>
      </c>
      <c r="M59" s="11">
        <f t="shared" si="9"/>
        <v>0.5</v>
      </c>
      <c r="N59" s="11">
        <f t="shared" si="10"/>
        <v>0</v>
      </c>
      <c r="O59" s="12">
        <f t="shared" si="11"/>
        <v>507.10500000000002</v>
      </c>
      <c r="P59" s="9" t="str">
        <f t="shared" si="12"/>
        <v>Low GDP</v>
      </c>
      <c r="Q59" s="14" t="str">
        <f t="shared" si="13"/>
        <v>Low performer</v>
      </c>
      <c r="R59" s="8"/>
      <c r="S59" s="8"/>
      <c r="T59" s="8"/>
      <c r="U59" s="8"/>
      <c r="V59" s="8"/>
      <c r="W59" s="8"/>
      <c r="X59" s="8"/>
    </row>
    <row r="60" spans="1:24" hidden="1" x14ac:dyDescent="0.25">
      <c r="A60" s="13" t="s">
        <v>123</v>
      </c>
      <c r="B60" s="1" t="s">
        <v>124</v>
      </c>
      <c r="C60" s="1" t="s">
        <v>2</v>
      </c>
      <c r="D60" s="1">
        <v>1</v>
      </c>
      <c r="E60" s="1">
        <v>0</v>
      </c>
      <c r="F60" s="1">
        <v>2</v>
      </c>
      <c r="G60" s="1">
        <v>3</v>
      </c>
      <c r="H60" s="9" t="str">
        <f t="shared" si="7"/>
        <v>Needs improvement</v>
      </c>
      <c r="I60" s="1">
        <v>10716.01</v>
      </c>
      <c r="J60" s="1">
        <v>2023</v>
      </c>
      <c r="K60" s="1">
        <v>11.3</v>
      </c>
      <c r="L60" s="10">
        <f t="shared" si="8"/>
        <v>0.33333333333333331</v>
      </c>
      <c r="M60" s="11">
        <f t="shared" si="9"/>
        <v>0</v>
      </c>
      <c r="N60" s="11">
        <f t="shared" si="10"/>
        <v>0.66666666666666663</v>
      </c>
      <c r="O60" s="12">
        <f t="shared" si="11"/>
        <v>3572.0033333333336</v>
      </c>
      <c r="P60" s="9" t="str">
        <f t="shared" si="12"/>
        <v>Low GDP</v>
      </c>
      <c r="Q60" s="14" t="str">
        <f t="shared" si="13"/>
        <v>Low performer</v>
      </c>
      <c r="R60" s="8"/>
      <c r="S60" s="8"/>
      <c r="T60" s="8"/>
      <c r="U60" s="8"/>
      <c r="V60" s="8"/>
      <c r="W60" s="8"/>
      <c r="X60" s="8"/>
    </row>
    <row r="61" spans="1:24" hidden="1" x14ac:dyDescent="0.25">
      <c r="A61" s="13" t="s">
        <v>125</v>
      </c>
      <c r="B61" s="1" t="s">
        <v>126</v>
      </c>
      <c r="C61" s="1" t="s">
        <v>2</v>
      </c>
      <c r="D61" s="1">
        <v>1</v>
      </c>
      <c r="E61" s="1">
        <v>0</v>
      </c>
      <c r="F61" s="1">
        <v>1</v>
      </c>
      <c r="G61" s="1">
        <v>2</v>
      </c>
      <c r="H61" s="9" t="str">
        <f t="shared" si="7"/>
        <v>Needs improvement</v>
      </c>
      <c r="I61" s="1">
        <v>5797.52</v>
      </c>
      <c r="J61" s="1">
        <v>2023</v>
      </c>
      <c r="K61" s="1">
        <v>17.600000000000001</v>
      </c>
      <c r="L61" s="10">
        <f t="shared" si="8"/>
        <v>0.5</v>
      </c>
      <c r="M61" s="11">
        <f t="shared" si="9"/>
        <v>0</v>
      </c>
      <c r="N61" s="11">
        <f t="shared" si="10"/>
        <v>0.5</v>
      </c>
      <c r="O61" s="12">
        <f t="shared" si="11"/>
        <v>2898.76</v>
      </c>
      <c r="P61" s="9" t="str">
        <f t="shared" si="12"/>
        <v>Low GDP</v>
      </c>
      <c r="Q61" s="14" t="str">
        <f t="shared" si="13"/>
        <v>Low performer</v>
      </c>
      <c r="R61" s="8"/>
      <c r="S61" s="8"/>
      <c r="T61" s="8"/>
      <c r="U61" s="8"/>
      <c r="V61" s="8"/>
      <c r="W61" s="8"/>
      <c r="X61" s="8"/>
    </row>
    <row r="62" spans="1:24" hidden="1" x14ac:dyDescent="0.25">
      <c r="A62" s="13" t="s">
        <v>127</v>
      </c>
      <c r="B62" s="1" t="s">
        <v>128</v>
      </c>
      <c r="C62" s="1" t="s">
        <v>38</v>
      </c>
      <c r="D62" s="1">
        <v>1</v>
      </c>
      <c r="E62" s="1">
        <v>0</v>
      </c>
      <c r="F62" s="1">
        <v>1</v>
      </c>
      <c r="G62" s="1">
        <v>2</v>
      </c>
      <c r="H62" s="9" t="str">
        <f t="shared" si="7"/>
        <v>Needs improvement</v>
      </c>
      <c r="I62" s="1">
        <v>3672.11</v>
      </c>
      <c r="J62" s="1">
        <v>2023</v>
      </c>
      <c r="K62" s="1">
        <v>37.799999999999997</v>
      </c>
      <c r="L62" s="10">
        <f t="shared" si="8"/>
        <v>0.5</v>
      </c>
      <c r="M62" s="11">
        <f t="shared" si="9"/>
        <v>0</v>
      </c>
      <c r="N62" s="11">
        <f t="shared" si="10"/>
        <v>0.5</v>
      </c>
      <c r="O62" s="12">
        <f t="shared" si="11"/>
        <v>1836.0550000000001</v>
      </c>
      <c r="P62" s="9" t="str">
        <f t="shared" si="12"/>
        <v>Low GDP</v>
      </c>
      <c r="Q62" s="14" t="str">
        <f t="shared" si="13"/>
        <v>Low performer</v>
      </c>
      <c r="R62" s="8"/>
      <c r="S62" s="8"/>
      <c r="T62" s="8"/>
      <c r="U62" s="8"/>
      <c r="V62" s="8"/>
      <c r="W62" s="8"/>
      <c r="X62" s="8"/>
    </row>
    <row r="63" spans="1:24" hidden="1" x14ac:dyDescent="0.25">
      <c r="A63" s="13" t="s">
        <v>129</v>
      </c>
      <c r="B63" s="1" t="s">
        <v>130</v>
      </c>
      <c r="C63" s="1" t="s">
        <v>120</v>
      </c>
      <c r="D63" s="1">
        <v>1</v>
      </c>
      <c r="E63" s="1">
        <v>0</v>
      </c>
      <c r="F63" s="1">
        <v>0</v>
      </c>
      <c r="G63" s="1">
        <v>1</v>
      </c>
      <c r="H63" s="9" t="str">
        <f t="shared" si="7"/>
        <v>Needs improvement</v>
      </c>
      <c r="I63" s="1">
        <v>8953.9</v>
      </c>
      <c r="J63" s="1">
        <v>2023</v>
      </c>
      <c r="K63" s="1">
        <v>0.1</v>
      </c>
      <c r="L63" s="10">
        <f t="shared" si="8"/>
        <v>1</v>
      </c>
      <c r="M63" s="11">
        <f t="shared" si="9"/>
        <v>0</v>
      </c>
      <c r="N63" s="11">
        <f t="shared" si="10"/>
        <v>0</v>
      </c>
      <c r="O63" s="12">
        <f t="shared" si="11"/>
        <v>8953.9</v>
      </c>
      <c r="P63" s="9" t="str">
        <f t="shared" si="12"/>
        <v>Low GDP</v>
      </c>
      <c r="Q63" s="14" t="str">
        <f t="shared" si="13"/>
        <v>Low performer</v>
      </c>
      <c r="R63" s="8"/>
      <c r="S63" s="8"/>
      <c r="T63" s="8"/>
      <c r="U63" s="8"/>
      <c r="V63" s="8"/>
      <c r="W63" s="8"/>
      <c r="X63" s="8"/>
    </row>
    <row r="64" spans="1:24" x14ac:dyDescent="0.25">
      <c r="A64" s="13" t="s">
        <v>131</v>
      </c>
      <c r="B64" s="1" t="s">
        <v>132</v>
      </c>
      <c r="C64" s="1" t="s">
        <v>5</v>
      </c>
      <c r="D64" s="1">
        <v>1</v>
      </c>
      <c r="E64" s="1">
        <v>0</v>
      </c>
      <c r="F64" s="1">
        <v>0</v>
      </c>
      <c r="G64" s="1">
        <v>1</v>
      </c>
      <c r="H64" s="9" t="str">
        <f t="shared" si="7"/>
        <v>Needs improvement</v>
      </c>
      <c r="I64" s="1">
        <v>1407.02</v>
      </c>
      <c r="J64" s="1">
        <v>2023</v>
      </c>
      <c r="K64" s="1">
        <v>240.5</v>
      </c>
      <c r="L64" s="10">
        <f t="shared" si="8"/>
        <v>1</v>
      </c>
      <c r="M64" s="11">
        <f t="shared" si="9"/>
        <v>0</v>
      </c>
      <c r="N64" s="11">
        <f t="shared" si="10"/>
        <v>0</v>
      </c>
      <c r="O64" s="12">
        <f t="shared" si="11"/>
        <v>1407.02</v>
      </c>
      <c r="P64" s="9" t="str">
        <f t="shared" si="12"/>
        <v>Low GDP</v>
      </c>
      <c r="Q64" s="14" t="str">
        <f t="shared" si="13"/>
        <v>Low performer</v>
      </c>
      <c r="R64" s="8"/>
      <c r="S64" s="8"/>
      <c r="T64" s="8"/>
      <c r="U64" s="8"/>
      <c r="V64" s="8"/>
      <c r="W64" s="8"/>
      <c r="X64" s="8"/>
    </row>
    <row r="65" spans="1:24" x14ac:dyDescent="0.25">
      <c r="A65" s="13" t="s">
        <v>133</v>
      </c>
      <c r="B65" s="1" t="s">
        <v>134</v>
      </c>
      <c r="C65" s="1" t="s">
        <v>5</v>
      </c>
      <c r="D65" s="1">
        <v>0</v>
      </c>
      <c r="E65" s="1">
        <v>3</v>
      </c>
      <c r="F65" s="1">
        <v>5</v>
      </c>
      <c r="G65" s="1">
        <v>8</v>
      </c>
      <c r="H65" s="9" t="str">
        <f t="shared" si="7"/>
        <v>Needs improvement</v>
      </c>
      <c r="I65" s="1">
        <v>12985.75</v>
      </c>
      <c r="J65" s="1">
        <v>2023</v>
      </c>
      <c r="K65" s="1">
        <v>85.3</v>
      </c>
      <c r="L65" s="10">
        <f t="shared" si="8"/>
        <v>0</v>
      </c>
      <c r="M65" s="11">
        <f t="shared" si="9"/>
        <v>0.375</v>
      </c>
      <c r="N65" s="11">
        <f t="shared" si="10"/>
        <v>0.625</v>
      </c>
      <c r="O65" s="12">
        <f t="shared" si="11"/>
        <v>1623.21875</v>
      </c>
      <c r="P65" s="9" t="str">
        <f t="shared" si="12"/>
        <v>Low GDP</v>
      </c>
      <c r="Q65" s="14" t="str">
        <f t="shared" si="13"/>
        <v>Low performer</v>
      </c>
      <c r="R65" s="8"/>
      <c r="S65" s="8"/>
      <c r="T65" s="8"/>
      <c r="U65" s="8"/>
      <c r="V65" s="8"/>
      <c r="W65" s="8"/>
      <c r="X65" s="8"/>
    </row>
    <row r="66" spans="1:24" hidden="1" x14ac:dyDescent="0.25">
      <c r="A66" s="13" t="s">
        <v>135</v>
      </c>
      <c r="B66" s="1" t="s">
        <v>136</v>
      </c>
      <c r="C66" s="1" t="s">
        <v>2</v>
      </c>
      <c r="D66" s="1">
        <v>0</v>
      </c>
      <c r="E66" s="1">
        <v>3</v>
      </c>
      <c r="F66" s="1">
        <v>2</v>
      </c>
      <c r="G66" s="1">
        <v>5</v>
      </c>
      <c r="H66" s="9" t="str">
        <f t="shared" ref="H66:H83" si="14">IF(G66&gt;=100,"Excellent","Needs improvement")</f>
        <v>Needs improvement</v>
      </c>
      <c r="I66" s="1">
        <v>13926.11</v>
      </c>
      <c r="J66" s="1">
        <v>2023</v>
      </c>
      <c r="K66" s="1">
        <v>128.5</v>
      </c>
      <c r="L66" s="10">
        <f t="shared" ref="L66:L83" si="15">D66/G66</f>
        <v>0</v>
      </c>
      <c r="M66" s="11">
        <f t="shared" ref="M66:M83" si="16">E66/G66</f>
        <v>0.6</v>
      </c>
      <c r="N66" s="11">
        <f t="shared" ref="N66:N83" si="17">F66/G66</f>
        <v>0.4</v>
      </c>
      <c r="O66" s="12">
        <f t="shared" ref="O66:O83" si="18">I66/G66</f>
        <v>2785.2220000000002</v>
      </c>
      <c r="P66" s="9" t="str">
        <f t="shared" ref="P66:P83" si="19">IF(I66&gt;=50000,"High GDP","Low GDP")</f>
        <v>Low GDP</v>
      </c>
      <c r="Q66" s="14" t="str">
        <f t="shared" ref="Q66:Q83" si="20">IF(D66&gt;=20,"Top performer","Low performer")</f>
        <v>Low performer</v>
      </c>
      <c r="R66" s="8"/>
      <c r="S66" s="8"/>
      <c r="T66" s="8"/>
      <c r="U66" s="8"/>
      <c r="V66" s="8"/>
      <c r="W66" s="8"/>
      <c r="X66" s="8"/>
    </row>
    <row r="67" spans="1:24" x14ac:dyDescent="0.25">
      <c r="A67" s="13" t="s">
        <v>137</v>
      </c>
      <c r="B67" s="1" t="s">
        <v>138</v>
      </c>
      <c r="C67" s="1" t="s">
        <v>5</v>
      </c>
      <c r="D67" s="1">
        <v>0</v>
      </c>
      <c r="E67" s="1">
        <v>3</v>
      </c>
      <c r="F67" s="1">
        <v>1</v>
      </c>
      <c r="G67" s="1">
        <v>4</v>
      </c>
      <c r="H67" s="9" t="str">
        <f t="shared" si="14"/>
        <v>Needs improvement</v>
      </c>
      <c r="I67" s="1">
        <v>8715.77</v>
      </c>
      <c r="J67" s="1">
        <v>2023</v>
      </c>
      <c r="K67" s="1">
        <v>2.8</v>
      </c>
      <c r="L67" s="10">
        <f t="shared" si="15"/>
        <v>0</v>
      </c>
      <c r="M67" s="11">
        <f t="shared" si="16"/>
        <v>0.75</v>
      </c>
      <c r="N67" s="11">
        <f t="shared" si="17"/>
        <v>0.25</v>
      </c>
      <c r="O67" s="12">
        <f t="shared" si="18"/>
        <v>2178.9425000000001</v>
      </c>
      <c r="P67" s="9" t="str">
        <f t="shared" si="19"/>
        <v>Low GDP</v>
      </c>
      <c r="Q67" s="14" t="str">
        <f t="shared" si="20"/>
        <v>Low performer</v>
      </c>
      <c r="R67" s="8"/>
      <c r="S67" s="8"/>
      <c r="T67" s="8"/>
      <c r="U67" s="8"/>
      <c r="V67" s="8"/>
      <c r="W67" s="8"/>
      <c r="X67" s="8"/>
    </row>
    <row r="68" spans="1:24" hidden="1" x14ac:dyDescent="0.25">
      <c r="A68" s="13" t="s">
        <v>139</v>
      </c>
      <c r="B68" s="1" t="s">
        <v>140</v>
      </c>
      <c r="C68" s="1" t="s">
        <v>45</v>
      </c>
      <c r="D68" s="1">
        <v>0</v>
      </c>
      <c r="E68" s="1">
        <v>3</v>
      </c>
      <c r="F68" s="1">
        <v>1</v>
      </c>
      <c r="G68" s="1">
        <v>4</v>
      </c>
      <c r="H68" s="9" t="str">
        <f t="shared" si="14"/>
        <v>Needs improvement</v>
      </c>
      <c r="I68" s="1">
        <v>6979.73</v>
      </c>
      <c r="J68" s="1">
        <v>2023</v>
      </c>
      <c r="K68" s="1">
        <v>52.1</v>
      </c>
      <c r="L68" s="10">
        <f t="shared" si="15"/>
        <v>0</v>
      </c>
      <c r="M68" s="11">
        <f t="shared" si="16"/>
        <v>0.75</v>
      </c>
      <c r="N68" s="11">
        <f t="shared" si="17"/>
        <v>0.25</v>
      </c>
      <c r="O68" s="12">
        <f t="shared" si="18"/>
        <v>1744.9324999999999</v>
      </c>
      <c r="P68" s="9" t="str">
        <f t="shared" si="19"/>
        <v>Low GDP</v>
      </c>
      <c r="Q68" s="14" t="str">
        <f t="shared" si="20"/>
        <v>Low performer</v>
      </c>
      <c r="R68" s="8"/>
      <c r="S68" s="8"/>
      <c r="T68" s="8"/>
      <c r="U68" s="8"/>
      <c r="V68" s="8"/>
      <c r="W68" s="8"/>
      <c r="X68" s="8"/>
    </row>
    <row r="69" spans="1:24" x14ac:dyDescent="0.25">
      <c r="A69" s="13" t="s">
        <v>141</v>
      </c>
      <c r="B69" s="1" t="s">
        <v>142</v>
      </c>
      <c r="C69" s="1" t="s">
        <v>5</v>
      </c>
      <c r="D69" s="1">
        <v>0</v>
      </c>
      <c r="E69" s="1">
        <v>2</v>
      </c>
      <c r="F69" s="1">
        <v>4</v>
      </c>
      <c r="G69" s="1">
        <v>6</v>
      </c>
      <c r="H69" s="9" t="str">
        <f t="shared" si="14"/>
        <v>Needs improvement</v>
      </c>
      <c r="I69" s="1">
        <v>1217</v>
      </c>
      <c r="J69" s="1">
        <v>2023</v>
      </c>
      <c r="K69" s="1">
        <v>26.2</v>
      </c>
      <c r="L69" s="10">
        <f t="shared" si="15"/>
        <v>0</v>
      </c>
      <c r="M69" s="11">
        <f t="shared" si="16"/>
        <v>0.33333333333333331</v>
      </c>
      <c r="N69" s="11">
        <f t="shared" si="17"/>
        <v>0.66666666666666663</v>
      </c>
      <c r="O69" s="12">
        <f t="shared" si="18"/>
        <v>202.83333333333334</v>
      </c>
      <c r="P69" s="9" t="str">
        <f t="shared" si="19"/>
        <v>Low GDP</v>
      </c>
      <c r="Q69" s="14" t="str">
        <f t="shared" si="20"/>
        <v>Low performer</v>
      </c>
      <c r="R69" s="8"/>
      <c r="S69" s="8"/>
      <c r="T69" s="8"/>
      <c r="U69" s="8"/>
      <c r="V69" s="8"/>
      <c r="W69" s="8"/>
      <c r="X69" s="8"/>
    </row>
    <row r="70" spans="1:24" x14ac:dyDescent="0.25">
      <c r="A70" s="13" t="s">
        <v>143</v>
      </c>
      <c r="B70" s="1" t="s">
        <v>144</v>
      </c>
      <c r="C70" s="1" t="s">
        <v>5</v>
      </c>
      <c r="D70" s="1">
        <v>0</v>
      </c>
      <c r="E70" s="1">
        <v>2</v>
      </c>
      <c r="F70" s="1">
        <v>4</v>
      </c>
      <c r="G70" s="1">
        <v>6</v>
      </c>
      <c r="H70" s="9" t="str">
        <f t="shared" si="14"/>
        <v>Needs improvement</v>
      </c>
      <c r="I70" s="1">
        <v>1969.87</v>
      </c>
      <c r="J70" s="1">
        <v>2023</v>
      </c>
      <c r="K70" s="1">
        <v>7.1</v>
      </c>
      <c r="L70" s="10">
        <f t="shared" si="15"/>
        <v>0</v>
      </c>
      <c r="M70" s="11">
        <f t="shared" si="16"/>
        <v>0.33333333333333331</v>
      </c>
      <c r="N70" s="11">
        <f t="shared" si="17"/>
        <v>0.66666666666666663</v>
      </c>
      <c r="O70" s="12">
        <f t="shared" si="18"/>
        <v>328.31166666666667</v>
      </c>
      <c r="P70" s="9" t="str">
        <f t="shared" si="19"/>
        <v>Low GDP</v>
      </c>
      <c r="Q70" s="14" t="str">
        <f t="shared" si="20"/>
        <v>Low performer</v>
      </c>
      <c r="R70" s="8"/>
      <c r="S70" s="8"/>
      <c r="T70" s="8"/>
      <c r="U70" s="8"/>
      <c r="V70" s="8"/>
      <c r="W70" s="8"/>
      <c r="X70" s="8"/>
    </row>
    <row r="71" spans="1:24" hidden="1" x14ac:dyDescent="0.25">
      <c r="A71" s="13" t="s">
        <v>145</v>
      </c>
      <c r="B71" s="1" t="s">
        <v>146</v>
      </c>
      <c r="C71" s="1" t="s">
        <v>13</v>
      </c>
      <c r="D71" s="1">
        <v>0</v>
      </c>
      <c r="E71" s="1">
        <v>2</v>
      </c>
      <c r="F71" s="1">
        <v>2</v>
      </c>
      <c r="G71" s="1">
        <v>4</v>
      </c>
      <c r="H71" s="9" t="str">
        <f t="shared" si="14"/>
        <v>Needs improvement</v>
      </c>
      <c r="I71" s="1">
        <v>27102.78</v>
      </c>
      <c r="J71" s="1">
        <v>2023</v>
      </c>
      <c r="K71" s="1">
        <v>2.9</v>
      </c>
      <c r="L71" s="10">
        <f t="shared" si="15"/>
        <v>0</v>
      </c>
      <c r="M71" s="11">
        <f t="shared" si="16"/>
        <v>0.5</v>
      </c>
      <c r="N71" s="11">
        <f t="shared" si="17"/>
        <v>0.5</v>
      </c>
      <c r="O71" s="12">
        <f t="shared" si="18"/>
        <v>6775.6949999999997</v>
      </c>
      <c r="P71" s="9" t="str">
        <f t="shared" si="19"/>
        <v>Low GDP</v>
      </c>
      <c r="Q71" s="14" t="str">
        <f t="shared" si="20"/>
        <v>Low performer</v>
      </c>
      <c r="R71" s="8"/>
      <c r="S71" s="8"/>
      <c r="T71" s="8"/>
      <c r="U71" s="8"/>
      <c r="V71" s="8"/>
      <c r="W71" s="8"/>
      <c r="X71" s="8"/>
    </row>
    <row r="72" spans="1:24" x14ac:dyDescent="0.25">
      <c r="A72" s="13" t="s">
        <v>147</v>
      </c>
      <c r="B72" s="1" t="s">
        <v>148</v>
      </c>
      <c r="C72" s="1" t="s">
        <v>5</v>
      </c>
      <c r="D72" s="1">
        <v>0</v>
      </c>
      <c r="E72" s="1">
        <v>1</v>
      </c>
      <c r="F72" s="1">
        <v>5</v>
      </c>
      <c r="G72" s="1">
        <v>6</v>
      </c>
      <c r="H72" s="9" t="str">
        <f t="shared" si="14"/>
        <v>Needs improvement</v>
      </c>
      <c r="I72" s="1">
        <v>2484.85</v>
      </c>
      <c r="J72" s="1">
        <v>2023</v>
      </c>
      <c r="K72" s="1">
        <v>1428.6</v>
      </c>
      <c r="L72" s="10">
        <f t="shared" si="15"/>
        <v>0</v>
      </c>
      <c r="M72" s="11">
        <f t="shared" si="16"/>
        <v>0.16666666666666666</v>
      </c>
      <c r="N72" s="11">
        <f t="shared" si="17"/>
        <v>0.83333333333333337</v>
      </c>
      <c r="O72" s="12">
        <f t="shared" si="18"/>
        <v>414.14166666666665</v>
      </c>
      <c r="P72" s="9" t="str">
        <f t="shared" si="19"/>
        <v>Low GDP</v>
      </c>
      <c r="Q72" s="14" t="str">
        <f t="shared" si="20"/>
        <v>Low performer</v>
      </c>
      <c r="R72" s="8"/>
      <c r="S72" s="8"/>
      <c r="T72" s="8"/>
      <c r="U72" s="8"/>
      <c r="V72" s="8"/>
      <c r="W72" s="8"/>
      <c r="X72" s="8"/>
    </row>
    <row r="73" spans="1:24" hidden="1" x14ac:dyDescent="0.25">
      <c r="A73" s="13" t="s">
        <v>149</v>
      </c>
      <c r="B73" s="1" t="s">
        <v>150</v>
      </c>
      <c r="C73" s="1" t="s">
        <v>13</v>
      </c>
      <c r="D73" s="1">
        <v>0</v>
      </c>
      <c r="E73" s="1">
        <v>1</v>
      </c>
      <c r="F73" s="1">
        <v>3</v>
      </c>
      <c r="G73" s="1">
        <v>4</v>
      </c>
      <c r="H73" s="9" t="str">
        <f t="shared" si="14"/>
        <v>Needs improvement</v>
      </c>
      <c r="I73" s="1">
        <v>6650.65</v>
      </c>
      <c r="J73" s="1">
        <v>2023</v>
      </c>
      <c r="K73" s="1">
        <v>2.5</v>
      </c>
      <c r="L73" s="10">
        <f t="shared" si="15"/>
        <v>0</v>
      </c>
      <c r="M73" s="11">
        <f t="shared" si="16"/>
        <v>0.25</v>
      </c>
      <c r="N73" s="11">
        <f t="shared" si="17"/>
        <v>0.75</v>
      </c>
      <c r="O73" s="12">
        <f t="shared" si="18"/>
        <v>1662.6624999999999</v>
      </c>
      <c r="P73" s="9" t="str">
        <f t="shared" si="19"/>
        <v>Low GDP</v>
      </c>
      <c r="Q73" s="14" t="str">
        <f t="shared" si="20"/>
        <v>Low performer</v>
      </c>
      <c r="R73" s="8"/>
      <c r="S73" s="8"/>
      <c r="T73" s="8"/>
      <c r="U73" s="8"/>
      <c r="V73" s="8"/>
      <c r="W73" s="8"/>
      <c r="X73" s="8"/>
    </row>
    <row r="74" spans="1:24" hidden="1" x14ac:dyDescent="0.25">
      <c r="A74" s="13" t="s">
        <v>151</v>
      </c>
      <c r="B74" s="1" t="s">
        <v>152</v>
      </c>
      <c r="C74" s="1" t="s">
        <v>13</v>
      </c>
      <c r="D74" s="1">
        <v>0</v>
      </c>
      <c r="E74" s="1">
        <v>1</v>
      </c>
      <c r="F74" s="1">
        <v>1</v>
      </c>
      <c r="G74" s="1">
        <v>2</v>
      </c>
      <c r="H74" s="9" t="str">
        <f t="shared" si="14"/>
        <v>Needs improvement</v>
      </c>
      <c r="I74" s="1">
        <v>5943.13</v>
      </c>
      <c r="J74" s="1">
        <v>2023</v>
      </c>
      <c r="K74" s="1">
        <v>1.8</v>
      </c>
      <c r="L74" s="10">
        <f t="shared" si="15"/>
        <v>0</v>
      </c>
      <c r="M74" s="11">
        <f t="shared" si="16"/>
        <v>0.5</v>
      </c>
      <c r="N74" s="11">
        <f t="shared" si="17"/>
        <v>0.5</v>
      </c>
      <c r="O74" s="12">
        <f t="shared" si="18"/>
        <v>2971.5650000000001</v>
      </c>
      <c r="P74" s="9" t="str">
        <f t="shared" si="19"/>
        <v>Low GDP</v>
      </c>
      <c r="Q74" s="14" t="str">
        <f t="shared" si="20"/>
        <v>Low performer</v>
      </c>
      <c r="R74" s="8"/>
      <c r="S74" s="8"/>
      <c r="T74" s="8"/>
      <c r="U74" s="8"/>
      <c r="V74" s="8"/>
      <c r="W74" s="8"/>
      <c r="X74" s="8"/>
    </row>
    <row r="75" spans="1:24" hidden="1" x14ac:dyDescent="0.25">
      <c r="A75" s="13" t="s">
        <v>153</v>
      </c>
      <c r="B75" s="1" t="s">
        <v>154</v>
      </c>
      <c r="C75" s="1" t="s">
        <v>13</v>
      </c>
      <c r="D75" s="1">
        <v>0</v>
      </c>
      <c r="E75" s="1">
        <v>1</v>
      </c>
      <c r="F75" s="1">
        <v>0</v>
      </c>
      <c r="G75" s="1">
        <v>1</v>
      </c>
      <c r="H75" s="9" t="str">
        <f t="shared" si="14"/>
        <v>Needs improvement</v>
      </c>
      <c r="I75" s="1">
        <v>34701.440000000002</v>
      </c>
      <c r="J75" s="1">
        <v>2023</v>
      </c>
      <c r="K75" s="1">
        <v>1.3</v>
      </c>
      <c r="L75" s="10">
        <f t="shared" si="15"/>
        <v>0</v>
      </c>
      <c r="M75" s="11">
        <f t="shared" si="16"/>
        <v>1</v>
      </c>
      <c r="N75" s="11">
        <f t="shared" si="17"/>
        <v>0</v>
      </c>
      <c r="O75" s="12">
        <f t="shared" si="18"/>
        <v>34701.440000000002</v>
      </c>
      <c r="P75" s="9" t="str">
        <f t="shared" si="19"/>
        <v>Low GDP</v>
      </c>
      <c r="Q75" s="14" t="str">
        <f t="shared" si="20"/>
        <v>Low performer</v>
      </c>
      <c r="R75" s="8"/>
      <c r="S75" s="8"/>
      <c r="T75" s="8"/>
      <c r="U75" s="8"/>
      <c r="V75" s="8"/>
      <c r="W75" s="8"/>
      <c r="X75" s="8"/>
    </row>
    <row r="76" spans="1:24" hidden="1" x14ac:dyDescent="0.25">
      <c r="A76" s="13" t="s">
        <v>155</v>
      </c>
      <c r="B76" s="1" t="s">
        <v>156</v>
      </c>
      <c r="C76" s="1" t="s">
        <v>10</v>
      </c>
      <c r="D76" s="1">
        <v>0</v>
      </c>
      <c r="E76" s="1">
        <v>1</v>
      </c>
      <c r="F76" s="1">
        <v>0</v>
      </c>
      <c r="G76" s="1">
        <v>1</v>
      </c>
      <c r="H76" s="9" t="str">
        <f t="shared" si="14"/>
        <v>Needs improvement</v>
      </c>
      <c r="I76" s="1">
        <v>5868.16</v>
      </c>
      <c r="J76" s="1">
        <v>2023</v>
      </c>
      <c r="K76" s="1">
        <v>0.9</v>
      </c>
      <c r="L76" s="10">
        <f t="shared" si="15"/>
        <v>0</v>
      </c>
      <c r="M76" s="11">
        <f t="shared" si="16"/>
        <v>1</v>
      </c>
      <c r="N76" s="11">
        <f t="shared" si="17"/>
        <v>0</v>
      </c>
      <c r="O76" s="12">
        <f t="shared" si="18"/>
        <v>5868.16</v>
      </c>
      <c r="P76" s="9" t="str">
        <f t="shared" si="19"/>
        <v>Low GDP</v>
      </c>
      <c r="Q76" s="14" t="str">
        <f t="shared" si="20"/>
        <v>Low performer</v>
      </c>
      <c r="R76" s="8"/>
      <c r="S76" s="8"/>
      <c r="T76" s="8"/>
      <c r="U76" s="8"/>
      <c r="V76" s="8"/>
      <c r="W76" s="8"/>
      <c r="X76" s="8"/>
    </row>
    <row r="77" spans="1:24" x14ac:dyDescent="0.25">
      <c r="A77" s="13" t="s">
        <v>157</v>
      </c>
      <c r="B77" s="1" t="s">
        <v>158</v>
      </c>
      <c r="C77" s="1" t="s">
        <v>5</v>
      </c>
      <c r="D77" s="1">
        <v>0</v>
      </c>
      <c r="E77" s="1">
        <v>1</v>
      </c>
      <c r="F77" s="1">
        <v>0</v>
      </c>
      <c r="G77" s="1">
        <v>1</v>
      </c>
      <c r="H77" s="9" t="str">
        <f t="shared" si="14"/>
        <v>Needs improvement</v>
      </c>
      <c r="I77" s="1">
        <v>4482.09</v>
      </c>
      <c r="J77" s="1">
        <v>2023</v>
      </c>
      <c r="K77" s="1">
        <v>11.3</v>
      </c>
      <c r="L77" s="10">
        <f t="shared" si="15"/>
        <v>0</v>
      </c>
      <c r="M77" s="11">
        <f t="shared" si="16"/>
        <v>1</v>
      </c>
      <c r="N77" s="11">
        <f t="shared" si="17"/>
        <v>0</v>
      </c>
      <c r="O77" s="12">
        <f t="shared" si="18"/>
        <v>4482.09</v>
      </c>
      <c r="P77" s="9" t="str">
        <f t="shared" si="19"/>
        <v>Low GDP</v>
      </c>
      <c r="Q77" s="14" t="str">
        <f t="shared" si="20"/>
        <v>Low performer</v>
      </c>
      <c r="R77" s="8"/>
      <c r="S77" s="8"/>
      <c r="T77" s="8"/>
      <c r="U77" s="8"/>
      <c r="V77" s="8"/>
      <c r="W77" s="8"/>
      <c r="X77" s="8"/>
    </row>
    <row r="78" spans="1:24" x14ac:dyDescent="0.25">
      <c r="A78" s="13" t="s">
        <v>159</v>
      </c>
      <c r="B78" s="1" t="s">
        <v>160</v>
      </c>
      <c r="C78" s="1" t="s">
        <v>5</v>
      </c>
      <c r="D78" s="1">
        <v>0</v>
      </c>
      <c r="E78" s="1">
        <v>1</v>
      </c>
      <c r="F78" s="1">
        <v>0</v>
      </c>
      <c r="G78" s="1">
        <v>1</v>
      </c>
      <c r="H78" s="9" t="str">
        <f t="shared" si="14"/>
        <v>Needs improvement</v>
      </c>
      <c r="I78" s="1">
        <v>5764.8</v>
      </c>
      <c r="J78" s="1">
        <v>2023</v>
      </c>
      <c r="K78" s="1">
        <v>3.4</v>
      </c>
      <c r="L78" s="10">
        <f t="shared" si="15"/>
        <v>0</v>
      </c>
      <c r="M78" s="11">
        <f t="shared" si="16"/>
        <v>1</v>
      </c>
      <c r="N78" s="11">
        <f t="shared" si="17"/>
        <v>0</v>
      </c>
      <c r="O78" s="12">
        <f t="shared" si="18"/>
        <v>5764.8</v>
      </c>
      <c r="P78" s="9" t="str">
        <f t="shared" si="19"/>
        <v>Low GDP</v>
      </c>
      <c r="Q78" s="14" t="str">
        <f t="shared" si="20"/>
        <v>Low performer</v>
      </c>
      <c r="R78" s="8"/>
      <c r="S78" s="8"/>
      <c r="T78" s="8"/>
      <c r="U78" s="8"/>
      <c r="V78" s="8"/>
      <c r="W78" s="8"/>
      <c r="X78" s="8"/>
    </row>
    <row r="79" spans="1:24" hidden="1" x14ac:dyDescent="0.25">
      <c r="A79" s="13" t="s">
        <v>161</v>
      </c>
      <c r="B79" s="1" t="s">
        <v>162</v>
      </c>
      <c r="C79" s="1" t="s">
        <v>45</v>
      </c>
      <c r="D79" s="1">
        <v>0</v>
      </c>
      <c r="E79" s="1">
        <v>1</v>
      </c>
      <c r="F79" s="1">
        <v>0</v>
      </c>
      <c r="G79" s="1">
        <v>1</v>
      </c>
      <c r="H79" s="9" t="str">
        <f t="shared" si="14"/>
        <v>Needs improvement</v>
      </c>
      <c r="I79" s="1">
        <v>18661.77</v>
      </c>
      <c r="J79" s="1">
        <v>2023</v>
      </c>
      <c r="K79" s="1">
        <v>4.5</v>
      </c>
      <c r="L79" s="10">
        <f t="shared" si="15"/>
        <v>0</v>
      </c>
      <c r="M79" s="11">
        <f t="shared" si="16"/>
        <v>1</v>
      </c>
      <c r="N79" s="11">
        <f t="shared" si="17"/>
        <v>0</v>
      </c>
      <c r="O79" s="12">
        <f t="shared" si="18"/>
        <v>18661.77</v>
      </c>
      <c r="P79" s="9" t="str">
        <f t="shared" si="19"/>
        <v>Low GDP</v>
      </c>
      <c r="Q79" s="14" t="str">
        <f t="shared" si="20"/>
        <v>Low performer</v>
      </c>
      <c r="R79" s="8"/>
      <c r="S79" s="8"/>
      <c r="T79" s="8"/>
      <c r="U79" s="8"/>
      <c r="V79" s="8"/>
      <c r="W79" s="8"/>
      <c r="X79" s="8"/>
    </row>
    <row r="80" spans="1:24" x14ac:dyDescent="0.25">
      <c r="A80" s="13" t="s">
        <v>163</v>
      </c>
      <c r="B80" s="1" t="s">
        <v>164</v>
      </c>
      <c r="C80" s="1" t="s">
        <v>5</v>
      </c>
      <c r="D80" s="1">
        <v>0</v>
      </c>
      <c r="E80" s="1">
        <v>0</v>
      </c>
      <c r="F80" s="1">
        <v>3</v>
      </c>
      <c r="G80" s="1">
        <v>3</v>
      </c>
      <c r="H80" s="9" t="str">
        <f t="shared" si="14"/>
        <v>Needs improvement</v>
      </c>
      <c r="I80" s="1">
        <v>1188.99</v>
      </c>
      <c r="J80" s="1">
        <v>2023</v>
      </c>
      <c r="K80" s="1">
        <v>10.1</v>
      </c>
      <c r="L80" s="10">
        <f t="shared" si="15"/>
        <v>0</v>
      </c>
      <c r="M80" s="11">
        <f t="shared" si="16"/>
        <v>0</v>
      </c>
      <c r="N80" s="11">
        <f t="shared" si="17"/>
        <v>1</v>
      </c>
      <c r="O80" s="12">
        <f t="shared" si="18"/>
        <v>396.33</v>
      </c>
      <c r="P80" s="9" t="str">
        <f t="shared" si="19"/>
        <v>Low GDP</v>
      </c>
      <c r="Q80" s="14" t="str">
        <f t="shared" si="20"/>
        <v>Low performer</v>
      </c>
      <c r="R80" s="8"/>
      <c r="S80" s="8"/>
      <c r="T80" s="8"/>
      <c r="U80" s="8"/>
      <c r="V80" s="8"/>
      <c r="W80" s="8"/>
      <c r="X80" s="8"/>
    </row>
    <row r="81" spans="1:24" hidden="1" x14ac:dyDescent="0.25">
      <c r="A81" s="13" t="s">
        <v>165</v>
      </c>
      <c r="B81" s="1" t="s">
        <v>166</v>
      </c>
      <c r="C81" s="1" t="s">
        <v>13</v>
      </c>
      <c r="D81" s="1">
        <v>0</v>
      </c>
      <c r="E81" s="1">
        <v>0</v>
      </c>
      <c r="F81" s="1">
        <v>2</v>
      </c>
      <c r="G81" s="1">
        <v>2</v>
      </c>
      <c r="H81" s="9" t="str">
        <f t="shared" si="14"/>
        <v>Needs improvement</v>
      </c>
      <c r="I81" s="1">
        <v>8367.7800000000007</v>
      </c>
      <c r="J81" s="1">
        <v>2023</v>
      </c>
      <c r="K81" s="1">
        <v>2.7</v>
      </c>
      <c r="L81" s="10">
        <f t="shared" si="15"/>
        <v>0</v>
      </c>
      <c r="M81" s="11">
        <f t="shared" si="16"/>
        <v>0</v>
      </c>
      <c r="N81" s="11">
        <f t="shared" si="17"/>
        <v>1</v>
      </c>
      <c r="O81" s="12">
        <f t="shared" si="18"/>
        <v>4183.8900000000003</v>
      </c>
      <c r="P81" s="9" t="str">
        <f t="shared" si="19"/>
        <v>Low GDP</v>
      </c>
      <c r="Q81" s="14" t="str">
        <f t="shared" si="20"/>
        <v>Low performer</v>
      </c>
      <c r="R81" s="8"/>
      <c r="S81" s="8"/>
      <c r="T81" s="8"/>
      <c r="U81" s="8"/>
      <c r="V81" s="8"/>
      <c r="W81" s="8"/>
      <c r="X81" s="8"/>
    </row>
    <row r="82" spans="1:24" hidden="1" x14ac:dyDescent="0.25">
      <c r="A82" s="13" t="s">
        <v>167</v>
      </c>
      <c r="B82" s="1" t="s">
        <v>168</v>
      </c>
      <c r="C82" s="1" t="s">
        <v>120</v>
      </c>
      <c r="D82" s="1">
        <v>0</v>
      </c>
      <c r="E82" s="1">
        <v>0</v>
      </c>
      <c r="F82" s="1">
        <v>2</v>
      </c>
      <c r="G82" s="1">
        <v>2</v>
      </c>
      <c r="H82" s="9" t="str">
        <f t="shared" si="14"/>
        <v>Needs improvement</v>
      </c>
      <c r="I82" s="1">
        <v>10463.65</v>
      </c>
      <c r="J82" s="1">
        <v>2023</v>
      </c>
      <c r="K82" s="1">
        <v>0.1</v>
      </c>
      <c r="L82" s="10">
        <f t="shared" si="15"/>
        <v>0</v>
      </c>
      <c r="M82" s="11">
        <f t="shared" si="16"/>
        <v>0</v>
      </c>
      <c r="N82" s="11">
        <f t="shared" si="17"/>
        <v>1</v>
      </c>
      <c r="O82" s="12">
        <f t="shared" si="18"/>
        <v>5231.8249999999998</v>
      </c>
      <c r="P82" s="9" t="str">
        <f t="shared" si="19"/>
        <v>Low GDP</v>
      </c>
      <c r="Q82" s="14" t="str">
        <f t="shared" si="20"/>
        <v>Low performer</v>
      </c>
      <c r="R82" s="8"/>
      <c r="S82" s="8"/>
      <c r="T82" s="8"/>
      <c r="U82" s="8"/>
      <c r="V82" s="8"/>
      <c r="W82" s="8"/>
      <c r="X82" s="8"/>
    </row>
    <row r="83" spans="1:24" x14ac:dyDescent="0.25">
      <c r="A83" s="13" t="s">
        <v>169</v>
      </c>
      <c r="B83" s="1" t="s">
        <v>170</v>
      </c>
      <c r="C83" s="1" t="s">
        <v>5</v>
      </c>
      <c r="D83" s="1">
        <v>0</v>
      </c>
      <c r="E83" s="1">
        <v>0</v>
      </c>
      <c r="F83" s="1">
        <v>2</v>
      </c>
      <c r="G83" s="1">
        <v>2</v>
      </c>
      <c r="H83" s="9" t="str">
        <f t="shared" si="14"/>
        <v>Needs improvement</v>
      </c>
      <c r="I83" s="1">
        <v>11648.67</v>
      </c>
      <c r="J83" s="1">
        <v>2023</v>
      </c>
      <c r="K83" s="1">
        <v>34.299999999999997</v>
      </c>
      <c r="L83" s="10">
        <f t="shared" si="15"/>
        <v>0</v>
      </c>
      <c r="M83" s="11">
        <f t="shared" si="16"/>
        <v>0</v>
      </c>
      <c r="N83" s="11">
        <f t="shared" si="17"/>
        <v>1</v>
      </c>
      <c r="O83" s="12">
        <f t="shared" si="18"/>
        <v>5824.335</v>
      </c>
      <c r="P83" s="9" t="str">
        <f t="shared" si="19"/>
        <v>Low GDP</v>
      </c>
      <c r="Q83" s="14" t="str">
        <f t="shared" si="20"/>
        <v>Low performer</v>
      </c>
      <c r="R83" s="8"/>
      <c r="S83" s="8"/>
      <c r="T83" s="8"/>
      <c r="U83" s="8"/>
      <c r="V83" s="8"/>
      <c r="W83" s="8"/>
      <c r="X83" s="8"/>
    </row>
    <row r="84" spans="1:24" hidden="1" x14ac:dyDescent="0.25">
      <c r="A84" s="13" t="s">
        <v>171</v>
      </c>
      <c r="B84" s="1" t="s">
        <v>172</v>
      </c>
      <c r="C84" s="1" t="s">
        <v>120</v>
      </c>
      <c r="D84" s="1">
        <v>0</v>
      </c>
      <c r="E84" s="1">
        <v>0</v>
      </c>
      <c r="F84" s="1">
        <v>2</v>
      </c>
      <c r="G84" s="1">
        <v>2</v>
      </c>
      <c r="H84" s="9" t="str">
        <f t="shared" ref="H84:H91" si="21">IF(G84&gt;=100,"Excellent","Needs improvement")</f>
        <v>Needs improvement</v>
      </c>
      <c r="I84" s="1">
        <v>36779.06</v>
      </c>
      <c r="J84" s="1">
        <v>2023</v>
      </c>
      <c r="K84" s="1">
        <v>3.2</v>
      </c>
      <c r="L84" s="10">
        <f t="shared" ref="L84:L91" si="22">D84/G84</f>
        <v>0</v>
      </c>
      <c r="M84" s="11">
        <f t="shared" ref="M84:M91" si="23">E84/G84</f>
        <v>0</v>
      </c>
      <c r="N84" s="11">
        <f t="shared" ref="N84:N91" si="24">F84/G84</f>
        <v>1</v>
      </c>
      <c r="O84" s="12">
        <f t="shared" ref="O84:O91" si="25">I84/G84</f>
        <v>18389.53</v>
      </c>
      <c r="P84" s="9" t="str">
        <f t="shared" ref="P84:P91" si="26">IF(I84&gt;=50000,"High GDP","Low GDP")</f>
        <v>Low GDP</v>
      </c>
      <c r="Q84" s="14" t="str">
        <f t="shared" ref="Q84:Q91" si="27">IF(D84&gt;=20,"Top performer","Low performer")</f>
        <v>Low performer</v>
      </c>
      <c r="R84" s="8"/>
      <c r="S84" s="8"/>
      <c r="T84" s="8"/>
      <c r="U84" s="8"/>
      <c r="V84" s="8"/>
      <c r="W84" s="8"/>
      <c r="X84" s="8"/>
    </row>
    <row r="85" spans="1:24" hidden="1" x14ac:dyDescent="0.25">
      <c r="A85" s="13" t="s">
        <v>173</v>
      </c>
      <c r="B85" s="1" t="s">
        <v>174</v>
      </c>
      <c r="C85" s="1" t="s">
        <v>38</v>
      </c>
      <c r="D85" s="1">
        <v>0</v>
      </c>
      <c r="E85" s="1">
        <v>0</v>
      </c>
      <c r="F85" s="1">
        <v>1</v>
      </c>
      <c r="G85" s="1">
        <v>1</v>
      </c>
      <c r="H85" s="9" t="str">
        <f t="shared" si="21"/>
        <v>Needs improvement</v>
      </c>
      <c r="I85" s="1">
        <v>4321.58</v>
      </c>
      <c r="J85" s="1">
        <v>2023</v>
      </c>
      <c r="K85" s="1">
        <v>0.6</v>
      </c>
      <c r="L85" s="10">
        <f t="shared" si="22"/>
        <v>0</v>
      </c>
      <c r="M85" s="11">
        <f t="shared" si="23"/>
        <v>0</v>
      </c>
      <c r="N85" s="11">
        <f t="shared" si="24"/>
        <v>1</v>
      </c>
      <c r="O85" s="12">
        <f t="shared" si="25"/>
        <v>4321.58</v>
      </c>
      <c r="P85" s="9" t="str">
        <f t="shared" si="26"/>
        <v>Low GDP</v>
      </c>
      <c r="Q85" s="14" t="str">
        <f t="shared" si="27"/>
        <v>Low performer</v>
      </c>
      <c r="R85" s="8"/>
      <c r="S85" s="8"/>
      <c r="T85" s="8"/>
      <c r="U85" s="8"/>
      <c r="V85" s="8"/>
      <c r="W85" s="8"/>
      <c r="X85" s="8"/>
    </row>
    <row r="86" spans="1:24" hidden="1" x14ac:dyDescent="0.25">
      <c r="A86" s="13" t="s">
        <v>175</v>
      </c>
      <c r="B86" s="1" t="s">
        <v>176</v>
      </c>
      <c r="C86" s="1" t="s">
        <v>38</v>
      </c>
      <c r="D86" s="1">
        <v>0</v>
      </c>
      <c r="E86" s="1">
        <v>0</v>
      </c>
      <c r="F86" s="1">
        <v>1</v>
      </c>
      <c r="G86" s="1">
        <v>1</v>
      </c>
      <c r="H86" s="9" t="str">
        <f t="shared" si="21"/>
        <v>Needs improvement</v>
      </c>
      <c r="I86" s="1">
        <v>2728.8</v>
      </c>
      <c r="J86" s="1">
        <v>2023</v>
      </c>
      <c r="K86" s="1">
        <v>28.9</v>
      </c>
      <c r="L86" s="10">
        <f t="shared" si="22"/>
        <v>0</v>
      </c>
      <c r="M86" s="11">
        <f t="shared" si="23"/>
        <v>0</v>
      </c>
      <c r="N86" s="11">
        <f t="shared" si="24"/>
        <v>1</v>
      </c>
      <c r="O86" s="12">
        <f t="shared" si="25"/>
        <v>2728.8</v>
      </c>
      <c r="P86" s="9" t="str">
        <f t="shared" si="26"/>
        <v>Low GDP</v>
      </c>
      <c r="Q86" s="14" t="str">
        <f t="shared" si="27"/>
        <v>Low performer</v>
      </c>
      <c r="R86" s="8"/>
      <c r="S86" s="8"/>
      <c r="T86" s="8"/>
      <c r="U86" s="8"/>
      <c r="V86" s="8"/>
      <c r="W86" s="8"/>
      <c r="X86" s="8"/>
    </row>
    <row r="87" spans="1:24" hidden="1" x14ac:dyDescent="0.25">
      <c r="A87" s="13" t="s">
        <v>177</v>
      </c>
      <c r="B87" s="1" t="s">
        <v>178</v>
      </c>
      <c r="C87" s="1" t="s">
        <v>45</v>
      </c>
      <c r="D87" s="1">
        <v>0</v>
      </c>
      <c r="E87" s="1">
        <v>0</v>
      </c>
      <c r="F87" s="1">
        <v>1</v>
      </c>
      <c r="G87" s="1">
        <v>1</v>
      </c>
      <c r="H87" s="9" t="str">
        <f t="shared" si="21"/>
        <v>Needs improvement</v>
      </c>
      <c r="I87" s="1">
        <v>7789.87</v>
      </c>
      <c r="J87" s="1">
        <v>2023</v>
      </c>
      <c r="K87" s="1">
        <v>34.4</v>
      </c>
      <c r="L87" s="10">
        <f t="shared" si="22"/>
        <v>0</v>
      </c>
      <c r="M87" s="11">
        <f t="shared" si="23"/>
        <v>0</v>
      </c>
      <c r="N87" s="11">
        <f t="shared" si="24"/>
        <v>1</v>
      </c>
      <c r="O87" s="12">
        <f t="shared" si="25"/>
        <v>7789.87</v>
      </c>
      <c r="P87" s="9" t="str">
        <f t="shared" si="26"/>
        <v>Low GDP</v>
      </c>
      <c r="Q87" s="14" t="str">
        <f t="shared" si="27"/>
        <v>Low performer</v>
      </c>
      <c r="R87" s="8"/>
      <c r="S87" s="8"/>
      <c r="T87" s="8"/>
      <c r="U87" s="8"/>
      <c r="V87" s="8"/>
      <c r="W87" s="8"/>
      <c r="X87" s="8"/>
    </row>
    <row r="88" spans="1:24" hidden="1" x14ac:dyDescent="0.25">
      <c r="A88" s="13" t="s">
        <v>179</v>
      </c>
      <c r="B88" s="1" t="s">
        <v>180</v>
      </c>
      <c r="C88" s="1" t="s">
        <v>5</v>
      </c>
      <c r="D88" s="1">
        <v>0</v>
      </c>
      <c r="E88" s="1">
        <v>0</v>
      </c>
      <c r="F88" s="1">
        <v>1</v>
      </c>
      <c r="G88" s="1">
        <v>1</v>
      </c>
      <c r="H88" s="9" t="str">
        <f t="shared" si="21"/>
        <v>Needs improvement</v>
      </c>
      <c r="I88" s="1">
        <v>87480.42</v>
      </c>
      <c r="J88" s="1">
        <v>2022</v>
      </c>
      <c r="K88" s="1">
        <v>2.7</v>
      </c>
      <c r="L88" s="10">
        <f t="shared" si="22"/>
        <v>0</v>
      </c>
      <c r="M88" s="11">
        <f t="shared" si="23"/>
        <v>0</v>
      </c>
      <c r="N88" s="11">
        <f t="shared" si="24"/>
        <v>1</v>
      </c>
      <c r="O88" s="12">
        <f t="shared" si="25"/>
        <v>87480.42</v>
      </c>
      <c r="P88" s="9" t="str">
        <f t="shared" si="26"/>
        <v>High GDP</v>
      </c>
      <c r="Q88" s="14" t="str">
        <f t="shared" si="27"/>
        <v>Low performer</v>
      </c>
      <c r="R88" s="8"/>
      <c r="S88" s="8"/>
      <c r="T88" s="8"/>
      <c r="U88" s="8"/>
      <c r="V88" s="8"/>
      <c r="W88" s="8"/>
      <c r="X88" s="8"/>
    </row>
    <row r="89" spans="1:24" hidden="1" x14ac:dyDescent="0.25">
      <c r="A89" s="13" t="s">
        <v>181</v>
      </c>
      <c r="B89" s="1" t="s">
        <v>182</v>
      </c>
      <c r="C89" s="1" t="s">
        <v>5</v>
      </c>
      <c r="D89" s="1">
        <v>0</v>
      </c>
      <c r="E89" s="1">
        <v>0</v>
      </c>
      <c r="F89" s="1">
        <v>1</v>
      </c>
      <c r="G89" s="1">
        <v>1</v>
      </c>
      <c r="H89" s="9" t="str">
        <f t="shared" si="21"/>
        <v>Needs improvement</v>
      </c>
      <c r="I89" s="1">
        <v>84734.26</v>
      </c>
      <c r="J89" s="1">
        <v>2023</v>
      </c>
      <c r="K89" s="1">
        <v>5.9</v>
      </c>
      <c r="L89" s="10">
        <f t="shared" si="22"/>
        <v>0</v>
      </c>
      <c r="M89" s="11">
        <f t="shared" si="23"/>
        <v>0</v>
      </c>
      <c r="N89" s="11">
        <f t="shared" si="24"/>
        <v>1</v>
      </c>
      <c r="O89" s="12">
        <f t="shared" si="25"/>
        <v>84734.26</v>
      </c>
      <c r="P89" s="9" t="str">
        <f t="shared" si="26"/>
        <v>High GDP</v>
      </c>
      <c r="Q89" s="14" t="str">
        <f t="shared" si="27"/>
        <v>Low performer</v>
      </c>
      <c r="R89" s="8"/>
      <c r="S89" s="8"/>
      <c r="T89" s="8"/>
      <c r="U89" s="8"/>
      <c r="V89" s="8"/>
      <c r="W89" s="8"/>
      <c r="X89" s="8"/>
    </row>
    <row r="90" spans="1:24" hidden="1" x14ac:dyDescent="0.25">
      <c r="A90" s="13" t="s">
        <v>183</v>
      </c>
      <c r="B90" s="1" t="s">
        <v>184</v>
      </c>
      <c r="C90" s="1" t="s">
        <v>13</v>
      </c>
      <c r="D90" s="1">
        <v>0</v>
      </c>
      <c r="E90" s="1">
        <v>0</v>
      </c>
      <c r="F90" s="1">
        <v>1</v>
      </c>
      <c r="G90" s="1">
        <v>1</v>
      </c>
      <c r="H90" s="9" t="str">
        <f t="shared" si="21"/>
        <v>Needs improvement</v>
      </c>
      <c r="I90" s="1">
        <v>24470.240000000002</v>
      </c>
      <c r="J90" s="1">
        <v>2023</v>
      </c>
      <c r="K90" s="1">
        <v>5.4</v>
      </c>
      <c r="L90" s="10">
        <f t="shared" si="22"/>
        <v>0</v>
      </c>
      <c r="M90" s="11">
        <f t="shared" si="23"/>
        <v>0</v>
      </c>
      <c r="N90" s="11">
        <f t="shared" si="24"/>
        <v>1</v>
      </c>
      <c r="O90" s="12">
        <f t="shared" si="25"/>
        <v>24470.240000000002</v>
      </c>
      <c r="P90" s="9" t="str">
        <f t="shared" si="26"/>
        <v>Low GDP</v>
      </c>
      <c r="Q90" s="14" t="str">
        <f t="shared" si="27"/>
        <v>Low performer</v>
      </c>
      <c r="R90" s="8"/>
      <c r="S90" s="8"/>
      <c r="T90" s="8"/>
      <c r="U90" s="8"/>
      <c r="V90" s="8"/>
      <c r="W90" s="8"/>
      <c r="X90" s="8"/>
    </row>
    <row r="91" spans="1:24" hidden="1" x14ac:dyDescent="0.25">
      <c r="A91" s="22" t="s">
        <v>185</v>
      </c>
      <c r="B91" s="23" t="s">
        <v>186</v>
      </c>
      <c r="C91" s="23" t="s">
        <v>38</v>
      </c>
      <c r="D91" s="23">
        <v>0</v>
      </c>
      <c r="E91" s="23">
        <v>0</v>
      </c>
      <c r="F91" s="23">
        <v>1</v>
      </c>
      <c r="G91" s="23">
        <v>1</v>
      </c>
      <c r="H91" s="24" t="str">
        <f t="shared" si="21"/>
        <v>Needs improvement</v>
      </c>
      <c r="I91" s="23">
        <v>1369.13</v>
      </c>
      <c r="J91" s="23">
        <v>2023</v>
      </c>
      <c r="K91" s="23">
        <v>20.6</v>
      </c>
      <c r="L91" s="25">
        <f t="shared" si="22"/>
        <v>0</v>
      </c>
      <c r="M91" s="26">
        <f t="shared" si="23"/>
        <v>0</v>
      </c>
      <c r="N91" s="26">
        <f t="shared" si="24"/>
        <v>1</v>
      </c>
      <c r="O91" s="27">
        <f t="shared" si="25"/>
        <v>1369.13</v>
      </c>
      <c r="P91" s="24" t="str">
        <f t="shared" si="26"/>
        <v>Low GDP</v>
      </c>
      <c r="Q91" s="28" t="str">
        <f t="shared" si="27"/>
        <v>Low performer</v>
      </c>
      <c r="R91" s="8"/>
      <c r="S91" s="8"/>
      <c r="T91" s="8"/>
      <c r="U91" s="8"/>
      <c r="V91" s="8"/>
      <c r="W91" s="8"/>
      <c r="X91" s="8"/>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Olympics Data</vt:lpstr>
      <vt:lpstr>new columns</vt:lpstr>
      <vt:lpstr>Formula working</vt:lpstr>
      <vt:lpstr>Dashboard</vt:lpstr>
      <vt:lpstr>Pivot table</vt:lpstr>
      <vt:lpstr>sorting</vt:lpstr>
      <vt:lpstr>Conditional Formatting</vt:lpstr>
      <vt:lpstr>Filters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SMILE INDIA</dc:creator>
  <cp:lastModifiedBy>SMILE INDIA</cp:lastModifiedBy>
  <dcterms:created xsi:type="dcterms:W3CDTF">2026-07-18T16:42:26Z</dcterms:created>
  <dcterms:modified xsi:type="dcterms:W3CDTF">2026-07-26T07:00:43Z</dcterms:modified>
</cp:coreProperties>
</file>